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908"/>
  </bookViews>
  <sheets>
    <sheet name="FTIR" sheetId="11" r:id="rId1"/>
    <sheet name="STERLITY" sheetId="8" r:id="rId2"/>
    <sheet name="WASHOUT &amp; DETERGENT " sheetId="7" r:id="rId3"/>
    <sheet name="HEMOLYSIS" sheetId="4" r:id="rId4"/>
    <sheet name="THROMBOTIC" sheetId="5" r:id="rId5"/>
    <sheet name="SWELLING " sheetId="6" r:id="rId6"/>
    <sheet name="ENZYME BIODEGRAD COLLAGEN" sheetId="2" r:id="rId7"/>
    <sheet name="ENZYME BIODEGRAD TRYPSIN" sheetId="3" r:id="rId8"/>
    <sheet name="QUANTIFICATION (Try &amp; Colgen)" sheetId="10" r:id="rId9"/>
  </sheets>
  <externalReferences>
    <externalReference r:id="rId10"/>
  </externalReferences>
  <calcPr calcId="144525"/>
</workbook>
</file>

<file path=xl/calcChain.xml><?xml version="1.0" encoding="utf-8"?>
<calcChain xmlns="http://schemas.openxmlformats.org/spreadsheetml/2006/main">
  <c r="U21" i="6" l="1"/>
  <c r="T21" i="6"/>
  <c r="S21" i="6"/>
  <c r="R21" i="6"/>
  <c r="Q21" i="6"/>
  <c r="P21" i="6"/>
  <c r="O21" i="6"/>
  <c r="N21" i="6"/>
  <c r="M21" i="6"/>
  <c r="L21" i="6"/>
  <c r="K21" i="6"/>
  <c r="J21" i="6"/>
  <c r="U20" i="6"/>
  <c r="T20" i="6"/>
  <c r="S20" i="6"/>
  <c r="R20" i="6"/>
  <c r="Q20" i="6"/>
  <c r="P20" i="6"/>
  <c r="O20" i="6"/>
  <c r="N20" i="6"/>
  <c r="M20" i="6"/>
  <c r="L20" i="6"/>
  <c r="K20" i="6"/>
  <c r="J20" i="6"/>
  <c r="U19" i="6"/>
  <c r="U23" i="6" s="1"/>
  <c r="T19" i="6"/>
  <c r="T23" i="6" s="1"/>
  <c r="S19" i="6"/>
  <c r="S23" i="6" s="1"/>
  <c r="R19" i="6"/>
  <c r="R23" i="6" s="1"/>
  <c r="Q19" i="6"/>
  <c r="Q23" i="6" s="1"/>
  <c r="P19" i="6"/>
  <c r="P23" i="6" s="1"/>
  <c r="O19" i="6"/>
  <c r="O23" i="6" s="1"/>
  <c r="N19" i="6"/>
  <c r="N23" i="6" s="1"/>
  <c r="M19" i="6"/>
  <c r="M22" i="6" s="1"/>
  <c r="L19" i="6"/>
  <c r="L23" i="6" s="1"/>
  <c r="K19" i="6"/>
  <c r="K23" i="6" s="1"/>
  <c r="J19" i="6"/>
  <c r="J23" i="6" s="1"/>
  <c r="U11" i="6"/>
  <c r="T11" i="6"/>
  <c r="S11" i="6"/>
  <c r="R11" i="6"/>
  <c r="Q11" i="6"/>
  <c r="P11" i="6"/>
  <c r="O11" i="6"/>
  <c r="N11" i="6"/>
  <c r="M11" i="6"/>
  <c r="L11" i="6"/>
  <c r="K11" i="6"/>
  <c r="J11" i="6"/>
  <c r="U10" i="6"/>
  <c r="T10" i="6"/>
  <c r="S10" i="6"/>
  <c r="R10" i="6"/>
  <c r="Q10" i="6"/>
  <c r="P10" i="6"/>
  <c r="O10" i="6"/>
  <c r="N10" i="6"/>
  <c r="M10" i="6"/>
  <c r="L10" i="6"/>
  <c r="K10" i="6"/>
  <c r="J10" i="6"/>
  <c r="U9" i="6"/>
  <c r="T9" i="6"/>
  <c r="T13" i="6" s="1"/>
  <c r="S9" i="6"/>
  <c r="S13" i="6" s="1"/>
  <c r="R9" i="6"/>
  <c r="R13" i="6" s="1"/>
  <c r="Q9" i="6"/>
  <c r="Q13" i="6" s="1"/>
  <c r="P9" i="6"/>
  <c r="P13" i="6" s="1"/>
  <c r="O9" i="6"/>
  <c r="N9" i="6"/>
  <c r="N13" i="6" s="1"/>
  <c r="M9" i="6"/>
  <c r="M13" i="6" s="1"/>
  <c r="L9" i="6"/>
  <c r="L13" i="6" s="1"/>
  <c r="K9" i="6"/>
  <c r="K13" i="6" s="1"/>
  <c r="J9" i="6"/>
  <c r="J13" i="6" s="1"/>
  <c r="U13" i="6" l="1"/>
  <c r="O13" i="6"/>
  <c r="U12" i="6"/>
  <c r="M23" i="6"/>
  <c r="N12" i="6"/>
  <c r="M12" i="6"/>
  <c r="Q22" i="6"/>
  <c r="J12" i="6"/>
  <c r="R12" i="6"/>
  <c r="J22" i="6"/>
  <c r="N22" i="6"/>
  <c r="R22" i="6"/>
  <c r="K12" i="6"/>
  <c r="O12" i="6"/>
  <c r="S12" i="6"/>
  <c r="K22" i="6"/>
  <c r="O22" i="6"/>
  <c r="S22" i="6"/>
  <c r="L12" i="6"/>
  <c r="P12" i="6"/>
  <c r="T12" i="6"/>
  <c r="L22" i="6"/>
  <c r="P22" i="6"/>
  <c r="T22" i="6"/>
  <c r="Q12" i="6"/>
  <c r="U22" i="6"/>
  <c r="I19" i="2" l="1"/>
  <c r="I18" i="2"/>
  <c r="I17" i="2"/>
  <c r="I16" i="2"/>
  <c r="H19" i="2"/>
  <c r="H18" i="2"/>
  <c r="H17" i="2"/>
  <c r="H16" i="2"/>
  <c r="G19" i="2"/>
  <c r="G18" i="2"/>
  <c r="G17" i="2"/>
  <c r="G16" i="2"/>
  <c r="I9" i="2"/>
  <c r="I8" i="2"/>
  <c r="I7" i="2"/>
  <c r="I6" i="2"/>
  <c r="H9" i="2"/>
  <c r="H8" i="2"/>
  <c r="H7" i="2"/>
  <c r="H6" i="2"/>
  <c r="G7" i="2"/>
  <c r="G8" i="2"/>
  <c r="G9" i="2"/>
  <c r="G6" i="2"/>
  <c r="J22" i="10"/>
  <c r="K22" i="3"/>
  <c r="H23" i="3"/>
  <c r="H24" i="3"/>
  <c r="H25" i="3"/>
  <c r="H26" i="3"/>
  <c r="H27" i="3"/>
  <c r="H28" i="3"/>
  <c r="H29" i="3"/>
  <c r="H30" i="3"/>
  <c r="H22" i="3"/>
  <c r="G23" i="3"/>
  <c r="G24" i="3"/>
  <c r="G25" i="3"/>
  <c r="G26" i="3"/>
  <c r="G27" i="3"/>
  <c r="G28" i="3"/>
  <c r="G29" i="3"/>
  <c r="G30" i="3"/>
  <c r="G22" i="3"/>
  <c r="J8" i="3"/>
  <c r="J9" i="3"/>
  <c r="J10" i="3"/>
  <c r="J11" i="3"/>
  <c r="J12" i="3"/>
  <c r="J13" i="3"/>
  <c r="J14" i="3"/>
  <c r="J15" i="3"/>
  <c r="G8" i="3"/>
  <c r="G9" i="3"/>
  <c r="G10" i="3"/>
  <c r="G11" i="3"/>
  <c r="G12" i="3"/>
  <c r="G13" i="3"/>
  <c r="G14" i="3"/>
  <c r="G15" i="3"/>
  <c r="G7" i="3"/>
  <c r="K28" i="3"/>
  <c r="K27" i="3" l="1"/>
  <c r="I11" i="8"/>
  <c r="H6" i="10" l="1"/>
  <c r="H7" i="10"/>
  <c r="H8" i="10"/>
  <c r="H9" i="10"/>
  <c r="H10" i="10"/>
  <c r="H11" i="10"/>
  <c r="H12" i="10"/>
  <c r="H13" i="10"/>
  <c r="H14" i="10"/>
  <c r="H5" i="10"/>
  <c r="I22" i="8"/>
  <c r="H22" i="8"/>
  <c r="I21" i="8"/>
  <c r="H21" i="8"/>
  <c r="I20" i="8"/>
  <c r="H20" i="8"/>
  <c r="I19" i="8"/>
  <c r="H19" i="8"/>
  <c r="I18" i="8"/>
  <c r="H18" i="8"/>
  <c r="I17" i="8"/>
  <c r="H17" i="8"/>
  <c r="P23" i="7" l="1"/>
  <c r="N23" i="7" l="1"/>
  <c r="M23" i="7"/>
  <c r="L23" i="7"/>
  <c r="K23" i="7"/>
  <c r="J23" i="7"/>
  <c r="O23" i="7" s="1"/>
  <c r="N22" i="7"/>
  <c r="M22" i="7"/>
  <c r="L22" i="7"/>
  <c r="K22" i="7"/>
  <c r="O22" i="7" s="1"/>
  <c r="J22" i="7"/>
  <c r="P22" i="7" s="1"/>
  <c r="N21" i="7"/>
  <c r="M21" i="7"/>
  <c r="L21" i="7"/>
  <c r="K21" i="7"/>
  <c r="J21" i="7"/>
  <c r="P21" i="7" s="1"/>
  <c r="N20" i="7"/>
  <c r="M20" i="7"/>
  <c r="P20" i="7" s="1"/>
  <c r="L20" i="7"/>
  <c r="K20" i="7"/>
  <c r="O20" i="7" s="1"/>
  <c r="J20" i="7"/>
  <c r="N19" i="7"/>
  <c r="P19" i="7" s="1"/>
  <c r="M19" i="7"/>
  <c r="L19" i="7"/>
  <c r="K19" i="7"/>
  <c r="J19" i="7"/>
  <c r="O19" i="7" s="1"/>
  <c r="N18" i="7"/>
  <c r="M18" i="7"/>
  <c r="L18" i="7"/>
  <c r="K18" i="7"/>
  <c r="O18" i="7" s="1"/>
  <c r="J18" i="7"/>
  <c r="P18" i="7" s="1"/>
  <c r="O21" i="7" l="1"/>
  <c r="J26" i="10" l="1"/>
  <c r="J27" i="10"/>
  <c r="J24" i="10"/>
  <c r="J23" i="10"/>
  <c r="J25" i="10"/>
  <c r="I27" i="10"/>
  <c r="I26" i="10"/>
  <c r="I25" i="10"/>
  <c r="I24" i="10"/>
  <c r="I23" i="10"/>
  <c r="I22" i="10"/>
  <c r="G27" i="10"/>
  <c r="H27" i="10"/>
  <c r="G26" i="10"/>
  <c r="H26" i="10"/>
  <c r="G25" i="10"/>
  <c r="H25" i="10"/>
  <c r="G24" i="10"/>
  <c r="H24" i="10"/>
  <c r="G23" i="10"/>
  <c r="H23" i="10"/>
  <c r="G22" i="10"/>
  <c r="H22" i="10"/>
  <c r="F23" i="10"/>
  <c r="F24" i="10"/>
  <c r="F25" i="10"/>
  <c r="F26" i="10"/>
  <c r="F27" i="10"/>
  <c r="F22" i="10"/>
  <c r="I9" i="8" l="1"/>
  <c r="I10" i="8"/>
  <c r="H9" i="8"/>
  <c r="H10" i="8"/>
  <c r="H11" i="8"/>
  <c r="I4" i="8"/>
  <c r="I5" i="8"/>
  <c r="I6" i="8"/>
  <c r="I7" i="8"/>
  <c r="I8" i="8"/>
  <c r="H4" i="8"/>
  <c r="H5" i="8"/>
  <c r="H6" i="8"/>
  <c r="H7" i="8"/>
  <c r="H8" i="8"/>
  <c r="I3" i="8"/>
  <c r="H3" i="8"/>
  <c r="L10" i="7"/>
  <c r="K10" i="7"/>
  <c r="J10" i="7"/>
  <c r="I10" i="7"/>
  <c r="L9" i="7"/>
  <c r="K9" i="7"/>
  <c r="J9" i="7"/>
  <c r="I9" i="7"/>
  <c r="L8" i="7"/>
  <c r="K8" i="7"/>
  <c r="J8" i="7"/>
  <c r="I8" i="7"/>
  <c r="L7" i="7"/>
  <c r="K7" i="7"/>
  <c r="J7" i="7"/>
  <c r="I7" i="7"/>
  <c r="L6" i="7"/>
  <c r="K6" i="7"/>
  <c r="J6" i="7"/>
  <c r="I6" i="7"/>
  <c r="L5" i="7"/>
  <c r="K5" i="7"/>
  <c r="J5" i="7"/>
  <c r="I5" i="7"/>
  <c r="I6" i="5"/>
  <c r="J5" i="5"/>
  <c r="I5" i="5"/>
  <c r="I4" i="5"/>
  <c r="E6" i="5"/>
  <c r="D6" i="5"/>
  <c r="C6" i="5"/>
  <c r="J6" i="5" s="1"/>
  <c r="E4" i="5"/>
  <c r="D4" i="5"/>
  <c r="C4" i="5"/>
  <c r="J4" i="5" s="1"/>
  <c r="I12" i="4"/>
  <c r="D12" i="4"/>
  <c r="E12" i="4"/>
  <c r="F12" i="4"/>
  <c r="G12" i="4"/>
  <c r="H12" i="4"/>
  <c r="C12" i="4"/>
  <c r="J12" i="4" s="1"/>
  <c r="D11" i="4"/>
  <c r="E11" i="4"/>
  <c r="F11" i="4"/>
  <c r="G11" i="4"/>
  <c r="H11" i="4"/>
  <c r="C11" i="4"/>
  <c r="J11" i="4" s="1"/>
  <c r="I30" i="3"/>
  <c r="I29" i="3"/>
  <c r="I28" i="3"/>
  <c r="I27" i="3"/>
  <c r="I26" i="3"/>
  <c r="I25" i="3"/>
  <c r="I24" i="3"/>
  <c r="I23" i="3"/>
  <c r="I22" i="3"/>
  <c r="I15" i="3"/>
  <c r="I14" i="3"/>
  <c r="I13" i="3"/>
  <c r="I12" i="3"/>
  <c r="I11" i="3"/>
  <c r="H15" i="3"/>
  <c r="H14" i="3"/>
  <c r="H13" i="3"/>
  <c r="H12" i="3"/>
  <c r="H11" i="3"/>
  <c r="I10" i="3"/>
  <c r="H10" i="3"/>
  <c r="I9" i="3"/>
  <c r="H9" i="3"/>
  <c r="I8" i="3"/>
  <c r="H8" i="3"/>
  <c r="I7" i="3"/>
  <c r="H7" i="3"/>
  <c r="N5" i="7" l="1"/>
  <c r="N6" i="7"/>
  <c r="M7" i="7"/>
  <c r="M8" i="7"/>
  <c r="M9" i="7"/>
  <c r="N9" i="7" s="1"/>
  <c r="N10" i="7"/>
  <c r="N7" i="7"/>
  <c r="N8" i="7"/>
  <c r="I11" i="4"/>
  <c r="K24" i="3"/>
  <c r="K12" i="3"/>
  <c r="J22" i="3"/>
  <c r="J26" i="3"/>
  <c r="K9" i="3"/>
  <c r="K23" i="3"/>
  <c r="J30" i="3"/>
  <c r="J7" i="3"/>
  <c r="K11" i="3"/>
  <c r="K26" i="3"/>
  <c r="J23" i="3"/>
  <c r="J25" i="3"/>
  <c r="K30" i="3"/>
  <c r="K15" i="3"/>
  <c r="J27" i="3"/>
  <c r="J29" i="3"/>
  <c r="M5" i="7"/>
  <c r="M6" i="7"/>
  <c r="M10" i="7"/>
  <c r="K25" i="3"/>
  <c r="K29" i="3"/>
  <c r="J24" i="3"/>
  <c r="J28" i="3"/>
  <c r="K8" i="3"/>
  <c r="K10" i="3"/>
  <c r="K13" i="3"/>
  <c r="K7" i="3"/>
  <c r="K14" i="3"/>
  <c r="K17" i="2"/>
  <c r="K19" i="2"/>
  <c r="K7" i="2"/>
  <c r="K18" i="2"/>
  <c r="J17" i="2"/>
  <c r="J19" i="2"/>
  <c r="K16" i="2"/>
  <c r="J16" i="2"/>
  <c r="K9" i="2"/>
  <c r="J18" i="2"/>
  <c r="J8" i="2"/>
  <c r="K6" i="2"/>
  <c r="J6" i="2"/>
  <c r="K8" i="2"/>
  <c r="J9" i="2"/>
  <c r="J7" i="2"/>
</calcChain>
</file>

<file path=xl/sharedStrings.xml><?xml version="1.0" encoding="utf-8"?>
<sst xmlns="http://schemas.openxmlformats.org/spreadsheetml/2006/main" count="144" uniqueCount="77">
  <si>
    <t>Native</t>
  </si>
  <si>
    <t>Stdev</t>
  </si>
  <si>
    <t>Hr</t>
  </si>
  <si>
    <t>Collagenase</t>
  </si>
  <si>
    <t>Mean</t>
  </si>
  <si>
    <t>Trypsin</t>
  </si>
  <si>
    <t>Samples</t>
  </si>
  <si>
    <t>OD Values at 545 nm</t>
  </si>
  <si>
    <t>Positive</t>
  </si>
  <si>
    <t>Negetive</t>
  </si>
  <si>
    <t>At= test sample</t>
  </si>
  <si>
    <t>An= negetive sample</t>
  </si>
  <si>
    <t>Ap= positive sample</t>
  </si>
  <si>
    <t xml:space="preserve">Positive </t>
  </si>
  <si>
    <t>Native (%)</t>
  </si>
  <si>
    <t>Timings (min)</t>
  </si>
  <si>
    <t xml:space="preserve">Mean </t>
  </si>
  <si>
    <t>stdev</t>
  </si>
  <si>
    <t>Detergent Toxicity</t>
  </si>
  <si>
    <t>Mean %</t>
  </si>
  <si>
    <t>stdev %</t>
  </si>
  <si>
    <t>SDS + TX</t>
  </si>
  <si>
    <t>1% TnBP</t>
  </si>
  <si>
    <t>Sodium Azide + EDTA</t>
  </si>
  <si>
    <t>PBS with Anitbiotic/Antimycotic</t>
  </si>
  <si>
    <t xml:space="preserve">PBS </t>
  </si>
  <si>
    <t>Control</t>
  </si>
  <si>
    <t>Wash out toxicity</t>
  </si>
  <si>
    <t>Ethanol</t>
  </si>
  <si>
    <t>Days</t>
  </si>
  <si>
    <t>Antibiotic/Antimycotic</t>
  </si>
  <si>
    <t>Conc (ug/ml)</t>
  </si>
  <si>
    <t>Average</t>
  </si>
  <si>
    <t>std dev</t>
  </si>
  <si>
    <t>y= mx+C</t>
  </si>
  <si>
    <t>Unknown</t>
  </si>
  <si>
    <t>Standard-glycine</t>
  </si>
  <si>
    <t>OD value</t>
  </si>
  <si>
    <t>Sample</t>
  </si>
  <si>
    <t>Amino acid concentration</t>
  </si>
  <si>
    <t>DCP</t>
  </si>
  <si>
    <t>Mean weight(gm)</t>
  </si>
  <si>
    <t>Mean (%)</t>
  </si>
  <si>
    <t>Std (%)</t>
  </si>
  <si>
    <t>Mean  (%)</t>
  </si>
  <si>
    <t>Std  (%)</t>
  </si>
  <si>
    <t>Degradation Percentage</t>
  </si>
  <si>
    <t>Native- Initially</t>
  </si>
  <si>
    <t>DCP-Initially</t>
  </si>
  <si>
    <t>DCP- Final trypsin</t>
  </si>
  <si>
    <t>Native-Final trypsin</t>
  </si>
  <si>
    <t>DCP- Final collagenase</t>
  </si>
  <si>
    <t>Native- Final collagenase</t>
  </si>
  <si>
    <t>Hemolysis (%)</t>
  </si>
  <si>
    <t>Clotting time (Seconds)</t>
  </si>
  <si>
    <t>DCP (%)</t>
  </si>
  <si>
    <t>Treatments</t>
  </si>
  <si>
    <t>Stdev (Seconds)</t>
  </si>
  <si>
    <t>Mean (Seconds)</t>
  </si>
  <si>
    <t>stdev (%)</t>
  </si>
  <si>
    <t>Cell viablity (%)</t>
  </si>
  <si>
    <t>Wavenumber</t>
  </si>
  <si>
    <t>Transmitance</t>
  </si>
  <si>
    <t xml:space="preserve">                              </t>
  </si>
  <si>
    <r>
      <t>dry weight (W</t>
    </r>
    <r>
      <rPr>
        <vertAlign val="sub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)</t>
    </r>
  </si>
  <si>
    <r>
      <t>wet weight (W</t>
    </r>
    <r>
      <rPr>
        <vertAlign val="subscript"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 xml:space="preserve">) </t>
    </r>
  </si>
  <si>
    <t>Timings(minutes)</t>
  </si>
  <si>
    <t>Sample (gm)</t>
  </si>
  <si>
    <t>Sample (%)</t>
  </si>
  <si>
    <t xml:space="preserve">No. of samples </t>
  </si>
  <si>
    <t>DCP dry weight</t>
  </si>
  <si>
    <t>Native dry weight</t>
  </si>
  <si>
    <r>
      <t>W</t>
    </r>
    <r>
      <rPr>
        <vertAlign val="subscript"/>
        <sz val="12"/>
        <color theme="1"/>
        <rFont val="Times New Roman"/>
        <family val="1"/>
      </rPr>
      <t xml:space="preserve">t </t>
    </r>
  </si>
  <si>
    <r>
      <t>W</t>
    </r>
    <r>
      <rPr>
        <vertAlign val="subscript"/>
        <sz val="12"/>
        <color theme="1"/>
        <rFont val="Times New Roman"/>
        <family val="1"/>
      </rPr>
      <t>0</t>
    </r>
  </si>
  <si>
    <t xml:space="preserve"> is the initial weight of the pericardium</t>
  </si>
  <si>
    <t xml:space="preserve"> weight of the pericardium after incubating with enzyme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</si>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</sst>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2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2" fontId="0" fillId="0" borderId="2" xfId="0" applyNumberFormat="1" applyBorder="1"/>
    <xf numFmtId="0" fontId="1" fillId="0" borderId="2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2" fillId="0" borderId="0" xfId="0" applyNumberFormat="1" applyFont="1" applyFill="1" applyBorder="1"/>
    <xf numFmtId="0" fontId="2" fillId="0" borderId="0" xfId="0" applyFont="1" applyFill="1" applyBorder="1"/>
    <xf numFmtId="1" fontId="3" fillId="2" borderId="2" xfId="0" applyNumberFormat="1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0" fontId="1" fillId="0" borderId="2" xfId="0" applyFont="1" applyBorder="1"/>
    <xf numFmtId="0" fontId="0" fillId="0" borderId="2" xfId="0" applyFont="1" applyBorder="1"/>
    <xf numFmtId="165" fontId="0" fillId="0" borderId="2" xfId="0" applyNumberFormat="1" applyBorder="1"/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0" fillId="0" borderId="12" xfId="0" applyBorder="1"/>
    <xf numFmtId="0" fontId="0" fillId="0" borderId="20" xfId="0" applyBorder="1"/>
    <xf numFmtId="0" fontId="0" fillId="0" borderId="19" xfId="0" applyBorder="1"/>
    <xf numFmtId="0" fontId="0" fillId="0" borderId="19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/>
    </xf>
    <xf numFmtId="164" fontId="0" fillId="0" borderId="19" xfId="0" applyNumberForma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166" fontId="0" fillId="0" borderId="19" xfId="0" applyNumberFormat="1" applyFill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2" fontId="0" fillId="0" borderId="20" xfId="0" applyNumberFormat="1" applyFill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3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textRotation="45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  <xf numFmtId="2" fontId="0" fillId="0" borderId="12" xfId="0" applyNumberFormat="1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1" fontId="0" fillId="0" borderId="19" xfId="0" applyNumberFormat="1" applyFont="1" applyBorder="1" applyAlignment="1">
      <alignment horizontal="center" vertical="center"/>
    </xf>
    <xf numFmtId="2" fontId="0" fillId="0" borderId="2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0.3750719597550306"/>
                  <c:y val="-3.7953120443277921E-2"/>
                </c:manualLayout>
              </c:layout>
              <c:numFmt formatCode="General" sourceLinked="0"/>
            </c:trendlineLbl>
          </c:trendline>
          <c:xVal>
            <c:numRef>
              <c:f>'[1]FINAL RESULT'!$A$4:$A$13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'[1]FINAL RESULT'!$E$4:$E$13</c:f>
              <c:numCache>
                <c:formatCode>General</c:formatCode>
                <c:ptCount val="10"/>
                <c:pt idx="0">
                  <c:v>7.4999999999999997E-2</c:v>
                </c:pt>
                <c:pt idx="1">
                  <c:v>8.7333333333333332E-2</c:v>
                </c:pt>
                <c:pt idx="2">
                  <c:v>0.10233333333333335</c:v>
                </c:pt>
                <c:pt idx="3">
                  <c:v>0.11333333333333334</c:v>
                </c:pt>
                <c:pt idx="4">
                  <c:v>0.13166666666666668</c:v>
                </c:pt>
                <c:pt idx="5">
                  <c:v>0.16033333333333333</c:v>
                </c:pt>
                <c:pt idx="6">
                  <c:v>0.16966666666666666</c:v>
                </c:pt>
                <c:pt idx="7">
                  <c:v>0.18000000000000002</c:v>
                </c:pt>
                <c:pt idx="8">
                  <c:v>0.20066666666666666</c:v>
                </c:pt>
                <c:pt idx="9">
                  <c:v>0.21066666666666667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91232"/>
        <c:axId val="83392768"/>
      </c:scatterChart>
      <c:valAx>
        <c:axId val="8339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392768"/>
        <c:crosses val="autoZero"/>
        <c:crossBetween val="midCat"/>
      </c:valAx>
      <c:valAx>
        <c:axId val="8339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33912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</xdr:row>
      <xdr:rowOff>0</xdr:rowOff>
    </xdr:from>
    <xdr:to>
      <xdr:col>16</xdr:col>
      <xdr:colOff>990600</xdr:colOff>
      <xdr:row>9</xdr:row>
      <xdr:rowOff>28575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1333500"/>
          <a:ext cx="2209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895350</xdr:colOff>
      <xdr:row>0</xdr:row>
      <xdr:rowOff>85725</xdr:rowOff>
    </xdr:from>
    <xdr:to>
      <xdr:col>11</xdr:col>
      <xdr:colOff>76200</xdr:colOff>
      <xdr:row>1</xdr:row>
      <xdr:rowOff>152400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85725"/>
          <a:ext cx="16287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0</xdr:rowOff>
    </xdr:from>
    <xdr:to>
      <xdr:col>13</xdr:col>
      <xdr:colOff>581025</xdr:colOff>
      <xdr:row>7</xdr:row>
      <xdr:rowOff>19050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962025"/>
          <a:ext cx="1543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6</xdr:row>
      <xdr:rowOff>0</xdr:rowOff>
    </xdr:from>
    <xdr:to>
      <xdr:col>14</xdr:col>
      <xdr:colOff>323850</xdr:colOff>
      <xdr:row>8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1152525"/>
          <a:ext cx="1543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18</xdr:col>
      <xdr:colOff>304800</xdr:colOff>
      <xdr:row>16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T%20ROURKELA/ANJU%20Prof/BIODEGRADABILITY%20TEST/NINHYDRIN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RESULT"/>
    </sheetNames>
    <sheetDataSet>
      <sheetData sheetId="0">
        <row r="4">
          <cell r="A4">
            <v>10</v>
          </cell>
          <cell r="E4">
            <v>7.4999999999999997E-2</v>
          </cell>
        </row>
        <row r="5">
          <cell r="A5">
            <v>20</v>
          </cell>
          <cell r="E5">
            <v>8.7333333333333332E-2</v>
          </cell>
        </row>
        <row r="6">
          <cell r="A6">
            <v>30</v>
          </cell>
          <cell r="E6">
            <v>0.10233333333333335</v>
          </cell>
        </row>
        <row r="7">
          <cell r="A7">
            <v>40</v>
          </cell>
          <cell r="E7">
            <v>0.11333333333333334</v>
          </cell>
        </row>
        <row r="8">
          <cell r="A8">
            <v>50</v>
          </cell>
          <cell r="E8">
            <v>0.13166666666666668</v>
          </cell>
        </row>
        <row r="9">
          <cell r="A9">
            <v>60</v>
          </cell>
          <cell r="E9">
            <v>0.16033333333333333</v>
          </cell>
        </row>
        <row r="10">
          <cell r="A10">
            <v>70</v>
          </cell>
          <cell r="E10">
            <v>0.16966666666666666</v>
          </cell>
        </row>
        <row r="11">
          <cell r="A11">
            <v>80</v>
          </cell>
          <cell r="E11">
            <v>0.18000000000000002</v>
          </cell>
        </row>
        <row r="12">
          <cell r="A12">
            <v>90</v>
          </cell>
          <cell r="E12">
            <v>0.20066666666666666</v>
          </cell>
        </row>
        <row r="13">
          <cell r="A13">
            <v>100</v>
          </cell>
          <cell r="E13">
            <v>0.21066666666666667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8"/>
  <sheetViews>
    <sheetView tabSelected="1" workbookViewId="0">
      <selection activeCell="H16" sqref="H16"/>
    </sheetView>
  </sheetViews>
  <sheetFormatPr defaultRowHeight="15" x14ac:dyDescent="0.25"/>
  <cols>
    <col min="1" max="1" width="13.140625" bestFit="1" customWidth="1"/>
    <col min="2" max="2" width="12.85546875" bestFit="1" customWidth="1"/>
    <col min="4" max="4" width="13.140625" bestFit="1" customWidth="1"/>
    <col min="5" max="5" width="12.85546875" bestFit="1" customWidth="1"/>
  </cols>
  <sheetData>
    <row r="1" spans="1:5" x14ac:dyDescent="0.25">
      <c r="A1" s="76" t="s">
        <v>40</v>
      </c>
      <c r="B1" s="76"/>
      <c r="C1" s="3"/>
      <c r="D1" s="76" t="s">
        <v>0</v>
      </c>
      <c r="E1" s="76"/>
    </row>
    <row r="2" spans="1:5" x14ac:dyDescent="0.25">
      <c r="A2" s="3" t="s">
        <v>61</v>
      </c>
      <c r="B2" s="3" t="s">
        <v>62</v>
      </c>
      <c r="C2" s="3"/>
      <c r="D2" s="3" t="s">
        <v>61</v>
      </c>
      <c r="E2" s="3" t="s">
        <v>62</v>
      </c>
    </row>
    <row r="3" spans="1:5" x14ac:dyDescent="0.25">
      <c r="A3">
        <v>3997.72912</v>
      </c>
      <c r="B3">
        <v>1.0002899999999999</v>
      </c>
      <c r="D3">
        <v>3997.72912</v>
      </c>
      <c r="E3">
        <v>0.99917999999999996</v>
      </c>
    </row>
    <row r="4" spans="1:5" x14ac:dyDescent="0.25">
      <c r="A4">
        <v>3995.68842</v>
      </c>
      <c r="B4">
        <v>1.0002899999999999</v>
      </c>
      <c r="D4">
        <v>3995.68842</v>
      </c>
      <c r="E4">
        <v>1</v>
      </c>
    </row>
    <row r="5" spans="1:5" x14ac:dyDescent="0.25">
      <c r="A5">
        <v>3993.6477300000001</v>
      </c>
      <c r="B5">
        <v>1.0002899999999999</v>
      </c>
      <c r="D5">
        <v>3993.6477300000001</v>
      </c>
      <c r="E5">
        <v>0.99997999999999998</v>
      </c>
    </row>
    <row r="6" spans="1:5" x14ac:dyDescent="0.25">
      <c r="A6">
        <v>3991.6070300000001</v>
      </c>
      <c r="B6">
        <v>1.0002899999999999</v>
      </c>
      <c r="D6">
        <v>3991.6070300000001</v>
      </c>
      <c r="E6">
        <v>0.99909999999999999</v>
      </c>
    </row>
    <row r="7" spans="1:5" x14ac:dyDescent="0.25">
      <c r="A7">
        <v>3989.5663300000001</v>
      </c>
      <c r="B7">
        <v>1.0002899999999999</v>
      </c>
      <c r="D7">
        <v>3989.5663300000001</v>
      </c>
      <c r="E7">
        <v>0.99897999999999998</v>
      </c>
    </row>
    <row r="8" spans="1:5" x14ac:dyDescent="0.25">
      <c r="A8">
        <v>3987.5256300000001</v>
      </c>
      <c r="B8">
        <v>1.0002899999999999</v>
      </c>
      <c r="D8">
        <v>3987.5256300000001</v>
      </c>
      <c r="E8">
        <v>0.99963000000000002</v>
      </c>
    </row>
    <row r="9" spans="1:5" x14ac:dyDescent="0.25">
      <c r="A9">
        <v>3985.4849300000001</v>
      </c>
      <c r="B9">
        <v>1.0002899999999999</v>
      </c>
      <c r="D9">
        <v>3985.4849300000001</v>
      </c>
      <c r="E9">
        <v>0.99982000000000004</v>
      </c>
    </row>
    <row r="10" spans="1:5" x14ac:dyDescent="0.25">
      <c r="A10">
        <v>3983.4442300000001</v>
      </c>
      <c r="B10">
        <v>1.0002899999999999</v>
      </c>
      <c r="D10">
        <v>3983.4442300000001</v>
      </c>
      <c r="E10">
        <v>0.99955000000000005</v>
      </c>
    </row>
    <row r="11" spans="1:5" x14ac:dyDescent="0.25">
      <c r="A11">
        <v>3981.40353</v>
      </c>
      <c r="B11">
        <v>1.0002899999999999</v>
      </c>
      <c r="D11">
        <v>3981.40353</v>
      </c>
      <c r="E11">
        <v>0.99948000000000004</v>
      </c>
    </row>
    <row r="12" spans="1:5" x14ac:dyDescent="0.25">
      <c r="A12">
        <v>3979.36283</v>
      </c>
      <c r="B12">
        <v>1.0003599999999999</v>
      </c>
      <c r="D12">
        <v>3979.36283</v>
      </c>
      <c r="E12">
        <v>0.99931000000000003</v>
      </c>
    </row>
    <row r="13" spans="1:5" x14ac:dyDescent="0.25">
      <c r="A13">
        <v>3977.32213</v>
      </c>
      <c r="B13">
        <v>1.0002800000000001</v>
      </c>
      <c r="D13">
        <v>3977.32213</v>
      </c>
      <c r="E13">
        <v>0.99873999999999996</v>
      </c>
    </row>
    <row r="14" spans="1:5" x14ac:dyDescent="0.25">
      <c r="A14">
        <v>3975.2814400000002</v>
      </c>
      <c r="B14">
        <v>1.00007</v>
      </c>
      <c r="D14">
        <v>3975.2814400000002</v>
      </c>
      <c r="E14">
        <v>0.99865999999999999</v>
      </c>
    </row>
    <row r="15" spans="1:5" x14ac:dyDescent="0.25">
      <c r="A15">
        <v>3973.2407400000002</v>
      </c>
      <c r="B15">
        <v>0.99973000000000001</v>
      </c>
      <c r="D15">
        <v>3973.2407400000002</v>
      </c>
      <c r="E15">
        <v>0.99922</v>
      </c>
    </row>
    <row r="16" spans="1:5" x14ac:dyDescent="0.25">
      <c r="A16">
        <v>3971.2000400000002</v>
      </c>
      <c r="B16">
        <v>0.99933000000000005</v>
      </c>
      <c r="D16">
        <v>3971.2000400000002</v>
      </c>
      <c r="E16">
        <v>0.99934000000000001</v>
      </c>
    </row>
    <row r="17" spans="1:5" x14ac:dyDescent="0.25">
      <c r="A17">
        <v>3969.1593400000002</v>
      </c>
      <c r="B17">
        <v>0.99902999999999997</v>
      </c>
      <c r="D17">
        <v>3969.1593400000002</v>
      </c>
      <c r="E17">
        <v>0.99863000000000002</v>
      </c>
    </row>
    <row r="18" spans="1:5" x14ac:dyDescent="0.25">
      <c r="A18">
        <v>3967.1186400000001</v>
      </c>
      <c r="B18">
        <v>0.99894000000000005</v>
      </c>
      <c r="D18">
        <v>3967.1186400000001</v>
      </c>
      <c r="E18">
        <v>0.99782000000000004</v>
      </c>
    </row>
    <row r="19" spans="1:5" x14ac:dyDescent="0.25">
      <c r="A19">
        <v>3965.0779400000001</v>
      </c>
      <c r="B19">
        <v>0.99890000000000001</v>
      </c>
      <c r="D19">
        <v>3965.0779400000001</v>
      </c>
      <c r="E19">
        <v>0.99692999999999998</v>
      </c>
    </row>
    <row r="20" spans="1:5" x14ac:dyDescent="0.25">
      <c r="A20">
        <v>3963.0372400000001</v>
      </c>
      <c r="B20">
        <v>0.99853999999999998</v>
      </c>
      <c r="D20">
        <v>3963.0372400000001</v>
      </c>
      <c r="E20">
        <v>0.99572000000000005</v>
      </c>
    </row>
    <row r="21" spans="1:5" x14ac:dyDescent="0.25">
      <c r="A21">
        <v>3960.9965400000001</v>
      </c>
      <c r="B21">
        <v>0.99770999999999999</v>
      </c>
      <c r="D21">
        <v>3960.9965400000001</v>
      </c>
      <c r="E21">
        <v>0.99511000000000005</v>
      </c>
    </row>
    <row r="22" spans="1:5" x14ac:dyDescent="0.25">
      <c r="A22">
        <v>3958.9558400000001</v>
      </c>
      <c r="B22">
        <v>0.99655000000000005</v>
      </c>
      <c r="D22">
        <v>3958.9558400000001</v>
      </c>
      <c r="E22">
        <v>0.99541999999999997</v>
      </c>
    </row>
    <row r="23" spans="1:5" x14ac:dyDescent="0.25">
      <c r="A23">
        <v>3956.9151499999998</v>
      </c>
      <c r="B23">
        <v>0.99526000000000003</v>
      </c>
      <c r="D23">
        <v>3956.9151499999998</v>
      </c>
      <c r="E23">
        <v>0.99633000000000005</v>
      </c>
    </row>
    <row r="24" spans="1:5" x14ac:dyDescent="0.25">
      <c r="A24">
        <v>3954.8744499999998</v>
      </c>
      <c r="B24">
        <v>0.99407000000000001</v>
      </c>
      <c r="D24">
        <v>3954.8744499999998</v>
      </c>
      <c r="E24">
        <v>0.99729999999999996</v>
      </c>
    </row>
    <row r="25" spans="1:5" x14ac:dyDescent="0.25">
      <c r="A25">
        <v>3952.8337499999998</v>
      </c>
      <c r="B25">
        <v>0.99317999999999995</v>
      </c>
      <c r="D25">
        <v>3952.8337499999998</v>
      </c>
      <c r="E25">
        <v>0.99670999999999998</v>
      </c>
    </row>
    <row r="26" spans="1:5" x14ac:dyDescent="0.25">
      <c r="A26">
        <v>3950.7930500000002</v>
      </c>
      <c r="B26">
        <v>0.99270000000000003</v>
      </c>
      <c r="D26">
        <v>3950.7930500000002</v>
      </c>
      <c r="E26">
        <v>0.99353999999999998</v>
      </c>
    </row>
    <row r="27" spans="1:5" x14ac:dyDescent="0.25">
      <c r="A27">
        <v>3948.7523500000002</v>
      </c>
      <c r="B27">
        <v>0.99248999999999998</v>
      </c>
      <c r="D27">
        <v>3948.7523500000002</v>
      </c>
      <c r="E27">
        <v>0.98921999999999999</v>
      </c>
    </row>
    <row r="28" spans="1:5" x14ac:dyDescent="0.25">
      <c r="A28">
        <v>3946.7116500000002</v>
      </c>
      <c r="B28">
        <v>0.99221999999999999</v>
      </c>
      <c r="D28">
        <v>3946.7116500000002</v>
      </c>
      <c r="E28">
        <v>0.98736000000000002</v>
      </c>
    </row>
    <row r="29" spans="1:5" x14ac:dyDescent="0.25">
      <c r="A29">
        <v>3944.6709500000002</v>
      </c>
      <c r="B29">
        <v>0.99173999999999995</v>
      </c>
      <c r="D29">
        <v>3944.6709500000002</v>
      </c>
      <c r="E29">
        <v>0.98812999999999995</v>
      </c>
    </row>
    <row r="30" spans="1:5" x14ac:dyDescent="0.25">
      <c r="A30">
        <v>3942.6302500000002</v>
      </c>
      <c r="B30">
        <v>0.99123000000000006</v>
      </c>
      <c r="D30">
        <v>3942.6302500000002</v>
      </c>
      <c r="E30">
        <v>0.98938000000000004</v>
      </c>
    </row>
    <row r="31" spans="1:5" x14ac:dyDescent="0.25">
      <c r="A31">
        <v>3940.5895500000001</v>
      </c>
      <c r="B31">
        <v>0.99087000000000003</v>
      </c>
      <c r="D31">
        <v>3940.5895500000001</v>
      </c>
      <c r="E31">
        <v>0.9909</v>
      </c>
    </row>
    <row r="32" spans="1:5" x14ac:dyDescent="0.25">
      <c r="A32">
        <v>3938.5488599999999</v>
      </c>
      <c r="B32">
        <v>0.99070000000000003</v>
      </c>
      <c r="D32">
        <v>3938.5488599999999</v>
      </c>
      <c r="E32">
        <v>0.99212</v>
      </c>
    </row>
    <row r="33" spans="1:5" x14ac:dyDescent="0.25">
      <c r="A33">
        <v>3936.5081599999999</v>
      </c>
      <c r="B33">
        <v>0.99080000000000001</v>
      </c>
      <c r="D33">
        <v>3936.5081599999999</v>
      </c>
      <c r="E33">
        <v>0.99234999999999995</v>
      </c>
    </row>
    <row r="34" spans="1:5" x14ac:dyDescent="0.25">
      <c r="A34">
        <v>3934.4674599999998</v>
      </c>
      <c r="B34">
        <v>0.99100999999999995</v>
      </c>
      <c r="D34">
        <v>3934.4674599999998</v>
      </c>
      <c r="E34">
        <v>0.99043999999999999</v>
      </c>
    </row>
    <row r="35" spans="1:5" x14ac:dyDescent="0.25">
      <c r="A35">
        <v>3932.4267599999998</v>
      </c>
      <c r="B35">
        <v>0.99095999999999995</v>
      </c>
      <c r="D35">
        <v>3932.4267599999998</v>
      </c>
      <c r="E35">
        <v>0.98799999999999999</v>
      </c>
    </row>
    <row r="36" spans="1:5" x14ac:dyDescent="0.25">
      <c r="A36">
        <v>3930.3860599999998</v>
      </c>
      <c r="B36">
        <v>0.99034999999999995</v>
      </c>
      <c r="D36">
        <v>3930.3860599999998</v>
      </c>
      <c r="E36">
        <v>0.9879</v>
      </c>
    </row>
    <row r="37" spans="1:5" x14ac:dyDescent="0.25">
      <c r="A37">
        <v>3928.3453599999998</v>
      </c>
      <c r="B37">
        <v>0.98938000000000004</v>
      </c>
      <c r="D37">
        <v>3928.3453599999998</v>
      </c>
      <c r="E37">
        <v>0.98928000000000005</v>
      </c>
    </row>
    <row r="38" spans="1:5" x14ac:dyDescent="0.25">
      <c r="A38">
        <v>3926.3046599999998</v>
      </c>
      <c r="B38">
        <v>0.98836999999999997</v>
      </c>
      <c r="D38">
        <v>3926.3046599999998</v>
      </c>
      <c r="E38">
        <v>0.98970999999999998</v>
      </c>
    </row>
    <row r="39" spans="1:5" x14ac:dyDescent="0.25">
      <c r="A39">
        <v>3924.2639600000002</v>
      </c>
      <c r="B39">
        <v>0.98753999999999997</v>
      </c>
      <c r="D39">
        <v>3924.2639600000002</v>
      </c>
      <c r="E39">
        <v>0.98867000000000005</v>
      </c>
    </row>
    <row r="40" spans="1:5" x14ac:dyDescent="0.25">
      <c r="A40">
        <v>3922.2232600000002</v>
      </c>
      <c r="B40">
        <v>0.98731000000000002</v>
      </c>
      <c r="D40">
        <v>3922.2232600000002</v>
      </c>
      <c r="E40">
        <v>0.98716999999999999</v>
      </c>
    </row>
    <row r="41" spans="1:5" x14ac:dyDescent="0.25">
      <c r="A41">
        <v>3920.1825699999999</v>
      </c>
      <c r="B41">
        <v>0.98782000000000003</v>
      </c>
      <c r="D41">
        <v>3920.1825699999999</v>
      </c>
      <c r="E41">
        <v>0.98563999999999996</v>
      </c>
    </row>
    <row r="42" spans="1:5" x14ac:dyDescent="0.25">
      <c r="A42">
        <v>3918.1418699999999</v>
      </c>
      <c r="B42">
        <v>0.98870000000000002</v>
      </c>
      <c r="D42">
        <v>3918.1418699999999</v>
      </c>
      <c r="E42">
        <v>0.98472000000000004</v>
      </c>
    </row>
    <row r="43" spans="1:5" x14ac:dyDescent="0.25">
      <c r="A43">
        <v>3916.1011699999999</v>
      </c>
      <c r="B43">
        <v>0.98939999999999995</v>
      </c>
      <c r="D43">
        <v>3916.1011699999999</v>
      </c>
      <c r="E43">
        <v>0.98499000000000003</v>
      </c>
    </row>
    <row r="44" spans="1:5" x14ac:dyDescent="0.25">
      <c r="A44">
        <v>3914.0604699999999</v>
      </c>
      <c r="B44">
        <v>0.98941000000000001</v>
      </c>
      <c r="D44">
        <v>3914.0604699999999</v>
      </c>
      <c r="E44">
        <v>0.98685</v>
      </c>
    </row>
    <row r="45" spans="1:5" x14ac:dyDescent="0.25">
      <c r="A45">
        <v>3912.0197699999999</v>
      </c>
      <c r="B45">
        <v>0.98860000000000003</v>
      </c>
      <c r="D45">
        <v>3912.0197699999999</v>
      </c>
      <c r="E45">
        <v>0.98912</v>
      </c>
    </row>
    <row r="46" spans="1:5" x14ac:dyDescent="0.25">
      <c r="A46">
        <v>3909.9790699999999</v>
      </c>
      <c r="B46">
        <v>0.98728000000000005</v>
      </c>
      <c r="D46">
        <v>3909.9790699999999</v>
      </c>
      <c r="E46">
        <v>0.99131999999999998</v>
      </c>
    </row>
    <row r="47" spans="1:5" x14ac:dyDescent="0.25">
      <c r="A47">
        <v>3907.9383699999998</v>
      </c>
      <c r="B47">
        <v>0.9859</v>
      </c>
      <c r="D47">
        <v>3907.9383699999998</v>
      </c>
      <c r="E47">
        <v>0.99202999999999997</v>
      </c>
    </row>
    <row r="48" spans="1:5" x14ac:dyDescent="0.25">
      <c r="A48">
        <v>3905.8976699999998</v>
      </c>
      <c r="B48">
        <v>0.98460999999999999</v>
      </c>
      <c r="D48">
        <v>3905.8976699999998</v>
      </c>
      <c r="E48">
        <v>0.98877999999999999</v>
      </c>
    </row>
    <row r="49" spans="1:5" x14ac:dyDescent="0.25">
      <c r="A49">
        <v>3903.8569699999998</v>
      </c>
      <c r="B49">
        <v>0.98355999999999999</v>
      </c>
      <c r="D49">
        <v>3903.8569699999998</v>
      </c>
      <c r="E49">
        <v>0.98307999999999995</v>
      </c>
    </row>
    <row r="50" spans="1:5" x14ac:dyDescent="0.25">
      <c r="A50">
        <v>3901.81628</v>
      </c>
      <c r="B50">
        <v>0.98270999999999997</v>
      </c>
      <c r="D50">
        <v>3901.81628</v>
      </c>
      <c r="E50">
        <v>0.97846</v>
      </c>
    </row>
    <row r="51" spans="1:5" x14ac:dyDescent="0.25">
      <c r="A51">
        <v>3899.77558</v>
      </c>
      <c r="B51">
        <v>0.98170000000000002</v>
      </c>
      <c r="D51">
        <v>3899.77558</v>
      </c>
      <c r="E51">
        <v>0.97528000000000004</v>
      </c>
    </row>
    <row r="52" spans="1:5" x14ac:dyDescent="0.25">
      <c r="A52">
        <v>3897.73488</v>
      </c>
      <c r="B52">
        <v>0.98053000000000001</v>
      </c>
      <c r="D52">
        <v>3897.73488</v>
      </c>
      <c r="E52">
        <v>0.97482000000000002</v>
      </c>
    </row>
    <row r="53" spans="1:5" x14ac:dyDescent="0.25">
      <c r="A53">
        <v>3895.69418</v>
      </c>
      <c r="B53">
        <v>0.97929999999999995</v>
      </c>
      <c r="D53">
        <v>3895.69418</v>
      </c>
      <c r="E53">
        <v>0.97807999999999995</v>
      </c>
    </row>
    <row r="54" spans="1:5" x14ac:dyDescent="0.25">
      <c r="A54">
        <v>3893.6534799999999</v>
      </c>
      <c r="B54">
        <v>0.97814000000000001</v>
      </c>
      <c r="D54">
        <v>3893.6534799999999</v>
      </c>
      <c r="E54">
        <v>0.98180999999999996</v>
      </c>
    </row>
    <row r="55" spans="1:5" x14ac:dyDescent="0.25">
      <c r="A55">
        <v>3891.6127799999999</v>
      </c>
      <c r="B55">
        <v>0.97753999999999996</v>
      </c>
      <c r="D55">
        <v>3891.6127799999999</v>
      </c>
      <c r="E55">
        <v>0.98255000000000003</v>
      </c>
    </row>
    <row r="56" spans="1:5" x14ac:dyDescent="0.25">
      <c r="A56">
        <v>3889.5720799999999</v>
      </c>
      <c r="B56">
        <v>0.97760000000000002</v>
      </c>
      <c r="D56">
        <v>3889.5720799999999</v>
      </c>
      <c r="E56">
        <v>0.98231999999999997</v>
      </c>
    </row>
    <row r="57" spans="1:5" x14ac:dyDescent="0.25">
      <c r="A57">
        <v>3887.5313799999999</v>
      </c>
      <c r="B57">
        <v>0.97819999999999996</v>
      </c>
      <c r="D57">
        <v>3887.5313799999999</v>
      </c>
      <c r="E57">
        <v>0.98075999999999997</v>
      </c>
    </row>
    <row r="58" spans="1:5" x14ac:dyDescent="0.25">
      <c r="A58">
        <v>3885.4906799999999</v>
      </c>
      <c r="B58">
        <v>0.97889999999999999</v>
      </c>
      <c r="D58">
        <v>3885.4906799999999</v>
      </c>
      <c r="E58">
        <v>0.97740000000000005</v>
      </c>
    </row>
    <row r="59" spans="1:5" x14ac:dyDescent="0.25">
      <c r="A59">
        <v>3883.4499900000001</v>
      </c>
      <c r="B59">
        <v>0.97904000000000002</v>
      </c>
      <c r="D59">
        <v>3883.4499900000001</v>
      </c>
      <c r="E59">
        <v>0.97613000000000005</v>
      </c>
    </row>
    <row r="60" spans="1:5" x14ac:dyDescent="0.25">
      <c r="A60">
        <v>3881.4092900000001</v>
      </c>
      <c r="B60">
        <v>0.97846999999999995</v>
      </c>
      <c r="D60">
        <v>3881.4092900000001</v>
      </c>
      <c r="E60">
        <v>0.97470999999999997</v>
      </c>
    </row>
    <row r="61" spans="1:5" x14ac:dyDescent="0.25">
      <c r="A61">
        <v>3879.36859</v>
      </c>
      <c r="B61">
        <v>0.97748999999999997</v>
      </c>
      <c r="D61">
        <v>3879.36859</v>
      </c>
      <c r="E61">
        <v>0.97453999999999996</v>
      </c>
    </row>
    <row r="62" spans="1:5" x14ac:dyDescent="0.25">
      <c r="A62">
        <v>3877.32789</v>
      </c>
      <c r="B62">
        <v>0.97665000000000002</v>
      </c>
      <c r="D62">
        <v>3877.32789</v>
      </c>
      <c r="E62">
        <v>0.97696000000000005</v>
      </c>
    </row>
    <row r="63" spans="1:5" x14ac:dyDescent="0.25">
      <c r="A63">
        <v>3875.28719</v>
      </c>
      <c r="B63">
        <v>0.97599000000000002</v>
      </c>
      <c r="D63">
        <v>3875.28719</v>
      </c>
      <c r="E63">
        <v>0.97814999999999996</v>
      </c>
    </row>
    <row r="64" spans="1:5" x14ac:dyDescent="0.25">
      <c r="A64">
        <v>3873.24649</v>
      </c>
      <c r="B64">
        <v>0.97521000000000002</v>
      </c>
      <c r="D64">
        <v>3873.24649</v>
      </c>
      <c r="E64">
        <v>0.97950999999999999</v>
      </c>
    </row>
    <row r="65" spans="1:5" x14ac:dyDescent="0.25">
      <c r="A65">
        <v>3871.20579</v>
      </c>
      <c r="B65">
        <v>0.97458</v>
      </c>
      <c r="D65">
        <v>3871.20579</v>
      </c>
      <c r="E65">
        <v>0.9778</v>
      </c>
    </row>
    <row r="66" spans="1:5" x14ac:dyDescent="0.25">
      <c r="A66">
        <v>3869.16509</v>
      </c>
      <c r="B66">
        <v>0.97463</v>
      </c>
      <c r="D66">
        <v>3869.16509</v>
      </c>
      <c r="E66">
        <v>0.97402</v>
      </c>
    </row>
    <row r="67" spans="1:5" x14ac:dyDescent="0.25">
      <c r="A67">
        <v>3867.1243899999999</v>
      </c>
      <c r="B67">
        <v>0.97533000000000003</v>
      </c>
      <c r="D67">
        <v>3867.1243899999999</v>
      </c>
      <c r="E67">
        <v>0.97419999999999995</v>
      </c>
    </row>
    <row r="68" spans="1:5" x14ac:dyDescent="0.25">
      <c r="A68">
        <v>3865.0837000000001</v>
      </c>
      <c r="B68">
        <v>0.97567999999999999</v>
      </c>
      <c r="D68">
        <v>3865.0837000000001</v>
      </c>
      <c r="E68">
        <v>0.97524</v>
      </c>
    </row>
    <row r="69" spans="1:5" x14ac:dyDescent="0.25">
      <c r="A69">
        <v>3863.0430000000001</v>
      </c>
      <c r="B69">
        <v>0.97497999999999996</v>
      </c>
      <c r="D69">
        <v>3863.0430000000001</v>
      </c>
      <c r="E69">
        <v>0.97460000000000002</v>
      </c>
    </row>
    <row r="70" spans="1:5" x14ac:dyDescent="0.25">
      <c r="A70">
        <v>3861.0023000000001</v>
      </c>
      <c r="B70">
        <v>0.97369000000000006</v>
      </c>
      <c r="D70">
        <v>3861.0023000000001</v>
      </c>
      <c r="E70">
        <v>0.97138999999999998</v>
      </c>
    </row>
    <row r="71" spans="1:5" x14ac:dyDescent="0.25">
      <c r="A71">
        <v>3858.9616000000001</v>
      </c>
      <c r="B71">
        <v>0.97258999999999995</v>
      </c>
      <c r="D71">
        <v>3858.9616000000001</v>
      </c>
      <c r="E71">
        <v>0.97172000000000003</v>
      </c>
    </row>
    <row r="72" spans="1:5" x14ac:dyDescent="0.25">
      <c r="A72">
        <v>3856.9209000000001</v>
      </c>
      <c r="B72">
        <v>0.97192000000000001</v>
      </c>
      <c r="D72">
        <v>3856.9209000000001</v>
      </c>
      <c r="E72">
        <v>0.97846</v>
      </c>
    </row>
    <row r="73" spans="1:5" x14ac:dyDescent="0.25">
      <c r="A73">
        <v>3854.8802000000001</v>
      </c>
      <c r="B73">
        <v>0.97194999999999998</v>
      </c>
      <c r="D73">
        <v>3854.8802000000001</v>
      </c>
      <c r="E73">
        <v>0.98470000000000002</v>
      </c>
    </row>
    <row r="74" spans="1:5" x14ac:dyDescent="0.25">
      <c r="A74">
        <v>3852.8395</v>
      </c>
      <c r="B74">
        <v>0.97228999999999999</v>
      </c>
      <c r="D74">
        <v>3852.8395</v>
      </c>
      <c r="E74">
        <v>0.98028000000000004</v>
      </c>
    </row>
    <row r="75" spans="1:5" x14ac:dyDescent="0.25">
      <c r="A75">
        <v>3850.7988</v>
      </c>
      <c r="B75">
        <v>0.97233000000000003</v>
      </c>
      <c r="D75">
        <v>3850.7988</v>
      </c>
      <c r="E75">
        <v>0.96647000000000005</v>
      </c>
    </row>
    <row r="76" spans="1:5" x14ac:dyDescent="0.25">
      <c r="A76">
        <v>3848.7581</v>
      </c>
      <c r="B76">
        <v>0.97223999999999999</v>
      </c>
      <c r="D76">
        <v>3848.7581</v>
      </c>
      <c r="E76">
        <v>0.96214</v>
      </c>
    </row>
    <row r="77" spans="1:5" x14ac:dyDescent="0.25">
      <c r="A77">
        <v>3846.7174100000002</v>
      </c>
      <c r="B77">
        <v>0.97214999999999996</v>
      </c>
      <c r="D77">
        <v>3846.7174100000002</v>
      </c>
      <c r="E77">
        <v>0.96811999999999998</v>
      </c>
    </row>
    <row r="78" spans="1:5" x14ac:dyDescent="0.25">
      <c r="A78">
        <v>3844.6767100000002</v>
      </c>
      <c r="B78">
        <v>0.97206999999999999</v>
      </c>
      <c r="D78">
        <v>3844.6767100000002</v>
      </c>
      <c r="E78">
        <v>0.97431000000000001</v>
      </c>
    </row>
    <row r="79" spans="1:5" x14ac:dyDescent="0.25">
      <c r="A79">
        <v>3842.6360100000002</v>
      </c>
      <c r="B79">
        <v>0.97172999999999998</v>
      </c>
      <c r="D79">
        <v>3842.6360100000002</v>
      </c>
      <c r="E79">
        <v>0.97758999999999996</v>
      </c>
    </row>
    <row r="80" spans="1:5" x14ac:dyDescent="0.25">
      <c r="A80">
        <v>3840.5953100000002</v>
      </c>
      <c r="B80">
        <v>0.97114</v>
      </c>
      <c r="D80">
        <v>3840.5953100000002</v>
      </c>
      <c r="E80">
        <v>0.97850000000000004</v>
      </c>
    </row>
    <row r="81" spans="1:5" x14ac:dyDescent="0.25">
      <c r="A81">
        <v>3838.5546100000001</v>
      </c>
      <c r="B81">
        <v>0.97113000000000005</v>
      </c>
      <c r="D81">
        <v>3838.5546100000001</v>
      </c>
      <c r="E81">
        <v>0.97567000000000004</v>
      </c>
    </row>
    <row r="82" spans="1:5" x14ac:dyDescent="0.25">
      <c r="A82">
        <v>3836.5139100000001</v>
      </c>
      <c r="B82">
        <v>0.97208000000000006</v>
      </c>
      <c r="D82">
        <v>3836.5139100000001</v>
      </c>
      <c r="E82">
        <v>0.97118000000000004</v>
      </c>
    </row>
    <row r="83" spans="1:5" x14ac:dyDescent="0.25">
      <c r="A83">
        <v>3834.4732100000001</v>
      </c>
      <c r="B83">
        <v>0.97323000000000004</v>
      </c>
      <c r="D83">
        <v>3834.4732100000001</v>
      </c>
      <c r="E83">
        <v>0.96933999999999998</v>
      </c>
    </row>
    <row r="84" spans="1:5" x14ac:dyDescent="0.25">
      <c r="A84">
        <v>3832.4325100000001</v>
      </c>
      <c r="B84">
        <v>0.97352000000000005</v>
      </c>
      <c r="D84">
        <v>3832.4325100000001</v>
      </c>
      <c r="E84">
        <v>0.96958999999999995</v>
      </c>
    </row>
    <row r="85" spans="1:5" x14ac:dyDescent="0.25">
      <c r="A85">
        <v>3830.3918100000001</v>
      </c>
      <c r="B85">
        <v>0.97297999999999996</v>
      </c>
      <c r="D85">
        <v>3830.3918100000001</v>
      </c>
      <c r="E85">
        <v>0.97102999999999995</v>
      </c>
    </row>
    <row r="86" spans="1:5" x14ac:dyDescent="0.25">
      <c r="A86">
        <v>3828.3511199999998</v>
      </c>
      <c r="B86">
        <v>0.97226999999999997</v>
      </c>
      <c r="D86">
        <v>3828.3511199999998</v>
      </c>
      <c r="E86">
        <v>0.97160999999999997</v>
      </c>
    </row>
    <row r="87" spans="1:5" x14ac:dyDescent="0.25">
      <c r="A87">
        <v>3826.3104199999998</v>
      </c>
      <c r="B87">
        <v>0.97162999999999999</v>
      </c>
      <c r="D87">
        <v>3826.3104199999998</v>
      </c>
      <c r="E87">
        <v>0.97187999999999997</v>
      </c>
    </row>
    <row r="88" spans="1:5" x14ac:dyDescent="0.25">
      <c r="A88">
        <v>3824.2697199999998</v>
      </c>
      <c r="B88">
        <v>0.97133000000000003</v>
      </c>
      <c r="D88">
        <v>3824.2697199999998</v>
      </c>
      <c r="E88">
        <v>0.97443000000000002</v>
      </c>
    </row>
    <row r="89" spans="1:5" x14ac:dyDescent="0.25">
      <c r="A89">
        <v>3822.2290200000002</v>
      </c>
      <c r="B89">
        <v>0.97153</v>
      </c>
      <c r="D89">
        <v>3822.2290200000002</v>
      </c>
      <c r="E89">
        <v>0.97411999999999999</v>
      </c>
    </row>
    <row r="90" spans="1:5" x14ac:dyDescent="0.25">
      <c r="A90">
        <v>3820.1883200000002</v>
      </c>
      <c r="B90">
        <v>0.97191000000000005</v>
      </c>
      <c r="D90">
        <v>3820.1883200000002</v>
      </c>
      <c r="E90">
        <v>0.97245000000000004</v>
      </c>
    </row>
    <row r="91" spans="1:5" x14ac:dyDescent="0.25">
      <c r="A91">
        <v>3818.1476200000002</v>
      </c>
      <c r="B91">
        <v>0.97246999999999995</v>
      </c>
      <c r="D91">
        <v>3818.1476200000002</v>
      </c>
      <c r="E91">
        <v>0.97194999999999998</v>
      </c>
    </row>
    <row r="92" spans="1:5" x14ac:dyDescent="0.25">
      <c r="A92">
        <v>3816.1069200000002</v>
      </c>
      <c r="B92">
        <v>0.97304999999999997</v>
      </c>
      <c r="D92">
        <v>3816.1069200000002</v>
      </c>
      <c r="E92">
        <v>0.97006999999999999</v>
      </c>
    </row>
    <row r="93" spans="1:5" x14ac:dyDescent="0.25">
      <c r="A93">
        <v>3814.0662200000002</v>
      </c>
      <c r="B93">
        <v>0.97350999999999999</v>
      </c>
      <c r="D93">
        <v>3814.0662200000002</v>
      </c>
      <c r="E93">
        <v>0.96967000000000003</v>
      </c>
    </row>
    <row r="94" spans="1:5" x14ac:dyDescent="0.25">
      <c r="A94">
        <v>3812.0255200000001</v>
      </c>
      <c r="B94">
        <v>0.97372999999999998</v>
      </c>
      <c r="D94">
        <v>3812.0255200000001</v>
      </c>
      <c r="E94">
        <v>0.97185999999999995</v>
      </c>
    </row>
    <row r="95" spans="1:5" x14ac:dyDescent="0.25">
      <c r="A95">
        <v>3809.9848299999999</v>
      </c>
      <c r="B95">
        <v>0.97358</v>
      </c>
      <c r="D95">
        <v>3809.9848299999999</v>
      </c>
      <c r="E95">
        <v>0.97672000000000003</v>
      </c>
    </row>
    <row r="96" spans="1:5" x14ac:dyDescent="0.25">
      <c r="A96">
        <v>3807.9441299999999</v>
      </c>
      <c r="B96">
        <v>0.97321999999999997</v>
      </c>
      <c r="D96">
        <v>3807.9441299999999</v>
      </c>
      <c r="E96">
        <v>0.97923000000000004</v>
      </c>
    </row>
    <row r="97" spans="1:5" x14ac:dyDescent="0.25">
      <c r="A97">
        <v>3805.9034299999998</v>
      </c>
      <c r="B97">
        <v>0.97306999999999999</v>
      </c>
      <c r="D97">
        <v>3805.9034299999998</v>
      </c>
      <c r="E97">
        <v>0.97870999999999997</v>
      </c>
    </row>
    <row r="98" spans="1:5" x14ac:dyDescent="0.25">
      <c r="A98">
        <v>3803.8627299999998</v>
      </c>
      <c r="B98">
        <v>0.97314000000000001</v>
      </c>
      <c r="D98">
        <v>3803.8627299999998</v>
      </c>
      <c r="E98">
        <v>0.97765000000000002</v>
      </c>
    </row>
    <row r="99" spans="1:5" x14ac:dyDescent="0.25">
      <c r="A99">
        <v>3801.8220299999998</v>
      </c>
      <c r="B99">
        <v>0.97338000000000002</v>
      </c>
      <c r="D99">
        <v>3801.8220299999998</v>
      </c>
      <c r="E99">
        <v>0.97341</v>
      </c>
    </row>
    <row r="100" spans="1:5" x14ac:dyDescent="0.25">
      <c r="A100">
        <v>3799.7813299999998</v>
      </c>
      <c r="B100">
        <v>0.97367999999999999</v>
      </c>
      <c r="D100">
        <v>3799.7813299999998</v>
      </c>
      <c r="E100">
        <v>0.97019999999999995</v>
      </c>
    </row>
    <row r="101" spans="1:5" x14ac:dyDescent="0.25">
      <c r="A101">
        <v>3797.7406299999998</v>
      </c>
      <c r="B101">
        <v>0.97377999999999998</v>
      </c>
      <c r="D101">
        <v>3797.7406299999998</v>
      </c>
      <c r="E101">
        <v>0.96855999999999998</v>
      </c>
    </row>
    <row r="102" spans="1:5" x14ac:dyDescent="0.25">
      <c r="A102">
        <v>3795.6999300000002</v>
      </c>
      <c r="B102">
        <v>0.97384000000000004</v>
      </c>
      <c r="D102">
        <v>3795.6999300000002</v>
      </c>
      <c r="E102">
        <v>0.96936999999999995</v>
      </c>
    </row>
    <row r="103" spans="1:5" x14ac:dyDescent="0.25">
      <c r="A103">
        <v>3793.6592300000002</v>
      </c>
      <c r="B103">
        <v>0.97397</v>
      </c>
      <c r="D103">
        <v>3793.6592300000002</v>
      </c>
      <c r="E103">
        <v>0.97245000000000004</v>
      </c>
    </row>
    <row r="104" spans="1:5" x14ac:dyDescent="0.25">
      <c r="A104">
        <v>3791.6185399999999</v>
      </c>
      <c r="B104">
        <v>0.97431999999999996</v>
      </c>
      <c r="D104">
        <v>3791.6185399999999</v>
      </c>
      <c r="E104">
        <v>0.97472000000000003</v>
      </c>
    </row>
    <row r="105" spans="1:5" x14ac:dyDescent="0.25">
      <c r="A105">
        <v>3789.5778399999999</v>
      </c>
      <c r="B105">
        <v>0.97467999999999999</v>
      </c>
      <c r="D105">
        <v>3789.5778399999999</v>
      </c>
      <c r="E105">
        <v>0.97658999999999996</v>
      </c>
    </row>
    <row r="106" spans="1:5" x14ac:dyDescent="0.25">
      <c r="A106">
        <v>3787.5371399999999</v>
      </c>
      <c r="B106">
        <v>0.97501000000000004</v>
      </c>
      <c r="D106">
        <v>3787.5371399999999</v>
      </c>
      <c r="E106">
        <v>0.97775999999999996</v>
      </c>
    </row>
    <row r="107" spans="1:5" x14ac:dyDescent="0.25">
      <c r="A107">
        <v>3785.4964399999999</v>
      </c>
      <c r="B107">
        <v>0.97550000000000003</v>
      </c>
      <c r="D107">
        <v>3785.4964399999999</v>
      </c>
      <c r="E107">
        <v>0.97726999999999997</v>
      </c>
    </row>
    <row r="108" spans="1:5" x14ac:dyDescent="0.25">
      <c r="A108">
        <v>3783.4557399999999</v>
      </c>
      <c r="B108">
        <v>0.9758</v>
      </c>
      <c r="D108">
        <v>3783.4557399999999</v>
      </c>
      <c r="E108">
        <v>0.97684000000000004</v>
      </c>
    </row>
    <row r="109" spans="1:5" x14ac:dyDescent="0.25">
      <c r="A109">
        <v>3781.4150399999999</v>
      </c>
      <c r="B109">
        <v>0.97565999999999997</v>
      </c>
      <c r="D109">
        <v>3781.4150399999999</v>
      </c>
      <c r="E109">
        <v>0.97645000000000004</v>
      </c>
    </row>
    <row r="110" spans="1:5" x14ac:dyDescent="0.25">
      <c r="A110">
        <v>3779.3743399999998</v>
      </c>
      <c r="B110">
        <v>0.97479000000000005</v>
      </c>
      <c r="D110">
        <v>3779.3743399999998</v>
      </c>
      <c r="E110">
        <v>0.97446999999999995</v>
      </c>
    </row>
    <row r="111" spans="1:5" x14ac:dyDescent="0.25">
      <c r="A111">
        <v>3777.3336399999998</v>
      </c>
      <c r="B111">
        <v>0.97348999999999997</v>
      </c>
      <c r="D111">
        <v>3777.3336399999998</v>
      </c>
      <c r="E111">
        <v>0.97218000000000004</v>
      </c>
    </row>
    <row r="112" spans="1:5" x14ac:dyDescent="0.25">
      <c r="A112">
        <v>3775.2929399999998</v>
      </c>
      <c r="B112">
        <v>0.97228999999999999</v>
      </c>
      <c r="D112">
        <v>3775.2929399999998</v>
      </c>
      <c r="E112">
        <v>0.97119</v>
      </c>
    </row>
    <row r="113" spans="1:5" x14ac:dyDescent="0.25">
      <c r="A113">
        <v>3773.25225</v>
      </c>
      <c r="B113">
        <v>0.97114999999999996</v>
      </c>
      <c r="D113">
        <v>3773.25225</v>
      </c>
      <c r="E113">
        <v>0.97294999999999998</v>
      </c>
    </row>
    <row r="114" spans="1:5" x14ac:dyDescent="0.25">
      <c r="A114">
        <v>3771.21155</v>
      </c>
      <c r="B114">
        <v>0.96987999999999996</v>
      </c>
      <c r="D114">
        <v>3771.21155</v>
      </c>
      <c r="E114">
        <v>0.97358999999999996</v>
      </c>
    </row>
    <row r="115" spans="1:5" x14ac:dyDescent="0.25">
      <c r="A115">
        <v>3769.17085</v>
      </c>
      <c r="B115">
        <v>0.96862000000000004</v>
      </c>
      <c r="D115">
        <v>3769.17085</v>
      </c>
      <c r="E115">
        <v>0.97094000000000003</v>
      </c>
    </row>
    <row r="116" spans="1:5" x14ac:dyDescent="0.25">
      <c r="A116">
        <v>3767.13015</v>
      </c>
      <c r="B116">
        <v>0.96758999999999995</v>
      </c>
      <c r="D116">
        <v>3767.13015</v>
      </c>
      <c r="E116">
        <v>0.96675</v>
      </c>
    </row>
    <row r="117" spans="1:5" x14ac:dyDescent="0.25">
      <c r="A117">
        <v>3765.0894499999999</v>
      </c>
      <c r="B117">
        <v>0.96667000000000003</v>
      </c>
      <c r="D117">
        <v>3765.0894499999999</v>
      </c>
      <c r="E117">
        <v>0.96419999999999995</v>
      </c>
    </row>
    <row r="118" spans="1:5" x14ac:dyDescent="0.25">
      <c r="A118">
        <v>3763.0487499999999</v>
      </c>
      <c r="B118">
        <v>0.96541999999999994</v>
      </c>
      <c r="D118">
        <v>3763.0487499999999</v>
      </c>
      <c r="E118">
        <v>0.96582000000000001</v>
      </c>
    </row>
    <row r="119" spans="1:5" x14ac:dyDescent="0.25">
      <c r="A119">
        <v>3761.0080499999999</v>
      </c>
      <c r="B119">
        <v>0.96387999999999996</v>
      </c>
      <c r="D119">
        <v>3761.0080499999999</v>
      </c>
      <c r="E119">
        <v>0.96614999999999995</v>
      </c>
    </row>
    <row r="120" spans="1:5" x14ac:dyDescent="0.25">
      <c r="A120">
        <v>3758.9673499999999</v>
      </c>
      <c r="B120">
        <v>0.96182000000000001</v>
      </c>
      <c r="D120">
        <v>3758.9673499999999</v>
      </c>
      <c r="E120">
        <v>0.96282999999999996</v>
      </c>
    </row>
    <row r="121" spans="1:5" x14ac:dyDescent="0.25">
      <c r="A121">
        <v>3756.9266499999999</v>
      </c>
      <c r="B121">
        <v>0.95914999999999995</v>
      </c>
      <c r="D121">
        <v>3756.9266499999999</v>
      </c>
      <c r="E121">
        <v>0.95945000000000003</v>
      </c>
    </row>
    <row r="122" spans="1:5" x14ac:dyDescent="0.25">
      <c r="A122">
        <v>3754.8859600000001</v>
      </c>
      <c r="B122">
        <v>0.95626</v>
      </c>
      <c r="D122">
        <v>3754.8859600000001</v>
      </c>
      <c r="E122">
        <v>0.95933000000000002</v>
      </c>
    </row>
    <row r="123" spans="1:5" x14ac:dyDescent="0.25">
      <c r="A123">
        <v>3752.8452600000001</v>
      </c>
      <c r="B123">
        <v>0.95340000000000003</v>
      </c>
      <c r="D123">
        <v>3752.8452600000001</v>
      </c>
      <c r="E123">
        <v>0.95889000000000002</v>
      </c>
    </row>
    <row r="124" spans="1:5" x14ac:dyDescent="0.25">
      <c r="A124">
        <v>3750.80456</v>
      </c>
      <c r="B124">
        <v>0.95038</v>
      </c>
      <c r="D124">
        <v>3750.80456</v>
      </c>
      <c r="E124">
        <v>0.95369999999999999</v>
      </c>
    </row>
    <row r="125" spans="1:5" x14ac:dyDescent="0.25">
      <c r="A125">
        <v>3748.76386</v>
      </c>
      <c r="B125">
        <v>0.94706999999999997</v>
      </c>
      <c r="D125">
        <v>3748.76386</v>
      </c>
      <c r="E125">
        <v>0.94767000000000001</v>
      </c>
    </row>
    <row r="126" spans="1:5" x14ac:dyDescent="0.25">
      <c r="A126">
        <v>3746.72316</v>
      </c>
      <c r="B126">
        <v>0.94369000000000003</v>
      </c>
      <c r="D126">
        <v>3746.72316</v>
      </c>
      <c r="E126">
        <v>0.94557000000000002</v>
      </c>
    </row>
    <row r="127" spans="1:5" x14ac:dyDescent="0.25">
      <c r="A127">
        <v>3744.68246</v>
      </c>
      <c r="B127">
        <v>0.94096000000000002</v>
      </c>
      <c r="D127">
        <v>3744.68246</v>
      </c>
      <c r="E127">
        <v>0.94142999999999999</v>
      </c>
    </row>
    <row r="128" spans="1:5" x14ac:dyDescent="0.25">
      <c r="A128">
        <v>3742.64176</v>
      </c>
      <c r="B128">
        <v>0.93915000000000004</v>
      </c>
      <c r="D128">
        <v>3742.64176</v>
      </c>
      <c r="E128">
        <v>0.93927000000000005</v>
      </c>
    </row>
    <row r="129" spans="1:5" x14ac:dyDescent="0.25">
      <c r="A129">
        <v>3740.60106</v>
      </c>
      <c r="B129">
        <v>0.93789999999999996</v>
      </c>
      <c r="D129">
        <v>3740.60106</v>
      </c>
      <c r="E129">
        <v>0.93955999999999995</v>
      </c>
    </row>
    <row r="130" spans="1:5" x14ac:dyDescent="0.25">
      <c r="A130">
        <v>3738.5603599999999</v>
      </c>
      <c r="B130">
        <v>0.93706999999999996</v>
      </c>
      <c r="D130">
        <v>3738.5603599999999</v>
      </c>
      <c r="E130">
        <v>0.93901999999999997</v>
      </c>
    </row>
    <row r="131" spans="1:5" x14ac:dyDescent="0.25">
      <c r="A131">
        <v>3736.5196700000001</v>
      </c>
      <c r="B131">
        <v>0.93698000000000004</v>
      </c>
      <c r="D131">
        <v>3736.5196700000001</v>
      </c>
      <c r="E131">
        <v>0.93679000000000001</v>
      </c>
    </row>
    <row r="132" spans="1:5" x14ac:dyDescent="0.25">
      <c r="A132">
        <v>3734.4789700000001</v>
      </c>
      <c r="B132">
        <v>0.93776999999999999</v>
      </c>
      <c r="D132">
        <v>3734.4789700000001</v>
      </c>
      <c r="E132">
        <v>0.93708999999999998</v>
      </c>
    </row>
    <row r="133" spans="1:5" x14ac:dyDescent="0.25">
      <c r="A133">
        <v>3732.4382700000001</v>
      </c>
      <c r="B133">
        <v>0.93889</v>
      </c>
      <c r="D133">
        <v>3732.4382700000001</v>
      </c>
      <c r="E133">
        <v>0.93945000000000001</v>
      </c>
    </row>
    <row r="134" spans="1:5" x14ac:dyDescent="0.25">
      <c r="A134">
        <v>3730.3975700000001</v>
      </c>
      <c r="B134">
        <v>0.94008000000000003</v>
      </c>
      <c r="D134">
        <v>3730.3975700000001</v>
      </c>
      <c r="E134">
        <v>0.94199999999999995</v>
      </c>
    </row>
    <row r="135" spans="1:5" x14ac:dyDescent="0.25">
      <c r="A135">
        <v>3728.3568700000001</v>
      </c>
      <c r="B135">
        <v>0.94160999999999995</v>
      </c>
      <c r="D135">
        <v>3728.3568700000001</v>
      </c>
      <c r="E135">
        <v>0.94338999999999995</v>
      </c>
    </row>
    <row r="136" spans="1:5" x14ac:dyDescent="0.25">
      <c r="A136">
        <v>3726.3161700000001</v>
      </c>
      <c r="B136">
        <v>0.94328999999999996</v>
      </c>
      <c r="D136">
        <v>3726.3161700000001</v>
      </c>
      <c r="E136">
        <v>0.94345999999999997</v>
      </c>
    </row>
    <row r="137" spans="1:5" x14ac:dyDescent="0.25">
      <c r="A137">
        <v>3724.27547</v>
      </c>
      <c r="B137">
        <v>0.94493000000000005</v>
      </c>
      <c r="D137">
        <v>3724.27547</v>
      </c>
      <c r="E137">
        <v>0.94493000000000005</v>
      </c>
    </row>
    <row r="138" spans="1:5" x14ac:dyDescent="0.25">
      <c r="A138">
        <v>3722.23477</v>
      </c>
      <c r="B138">
        <v>0.94625999999999999</v>
      </c>
      <c r="D138">
        <v>3722.23477</v>
      </c>
      <c r="E138">
        <v>0.94706000000000001</v>
      </c>
    </row>
    <row r="139" spans="1:5" x14ac:dyDescent="0.25">
      <c r="A139">
        <v>3720.19407</v>
      </c>
      <c r="B139">
        <v>0.94708999999999999</v>
      </c>
      <c r="D139">
        <v>3720.19407</v>
      </c>
      <c r="E139">
        <v>0.94862000000000002</v>
      </c>
    </row>
    <row r="140" spans="1:5" x14ac:dyDescent="0.25">
      <c r="A140">
        <v>3718.1533800000002</v>
      </c>
      <c r="B140">
        <v>0.94743999999999995</v>
      </c>
      <c r="D140">
        <v>3718.1533800000002</v>
      </c>
      <c r="E140">
        <v>0.94899999999999995</v>
      </c>
    </row>
    <row r="141" spans="1:5" x14ac:dyDescent="0.25">
      <c r="A141">
        <v>3716.1126800000002</v>
      </c>
      <c r="B141">
        <v>0.94754000000000005</v>
      </c>
      <c r="D141">
        <v>3716.1126800000002</v>
      </c>
      <c r="E141">
        <v>0.94974000000000003</v>
      </c>
    </row>
    <row r="142" spans="1:5" x14ac:dyDescent="0.25">
      <c r="A142">
        <v>3714.0719800000002</v>
      </c>
      <c r="B142">
        <v>0.94764000000000004</v>
      </c>
      <c r="D142">
        <v>3714.0719800000002</v>
      </c>
      <c r="E142">
        <v>0.95077</v>
      </c>
    </row>
    <row r="143" spans="1:5" x14ac:dyDescent="0.25">
      <c r="A143">
        <v>3712.0312800000002</v>
      </c>
      <c r="B143">
        <v>0.94772000000000001</v>
      </c>
      <c r="D143">
        <v>3712.0312800000002</v>
      </c>
      <c r="E143">
        <v>0.95113999999999999</v>
      </c>
    </row>
    <row r="144" spans="1:5" x14ac:dyDescent="0.25">
      <c r="A144">
        <v>3709.9905800000001</v>
      </c>
      <c r="B144">
        <v>0.94755999999999996</v>
      </c>
      <c r="D144">
        <v>3709.9905800000001</v>
      </c>
      <c r="E144">
        <v>0.94893000000000005</v>
      </c>
    </row>
    <row r="145" spans="1:5" x14ac:dyDescent="0.25">
      <c r="A145">
        <v>3707.9498800000001</v>
      </c>
      <c r="B145">
        <v>0.94711000000000001</v>
      </c>
      <c r="D145">
        <v>3707.9498800000001</v>
      </c>
      <c r="E145">
        <v>0.94557999999999998</v>
      </c>
    </row>
    <row r="146" spans="1:5" x14ac:dyDescent="0.25">
      <c r="A146">
        <v>3705.9091800000001</v>
      </c>
      <c r="B146">
        <v>0.94669000000000003</v>
      </c>
      <c r="D146">
        <v>3705.9091800000001</v>
      </c>
      <c r="E146">
        <v>0.94521999999999995</v>
      </c>
    </row>
    <row r="147" spans="1:5" x14ac:dyDescent="0.25">
      <c r="A147">
        <v>3703.8684800000001</v>
      </c>
      <c r="B147">
        <v>0.94638999999999995</v>
      </c>
      <c r="D147">
        <v>3703.8684800000001</v>
      </c>
      <c r="E147">
        <v>0.94684000000000001</v>
      </c>
    </row>
    <row r="148" spans="1:5" x14ac:dyDescent="0.25">
      <c r="A148">
        <v>3701.8277800000001</v>
      </c>
      <c r="B148">
        <v>0.94581000000000004</v>
      </c>
      <c r="D148">
        <v>3701.8277800000001</v>
      </c>
      <c r="E148">
        <v>0.94706999999999997</v>
      </c>
    </row>
    <row r="149" spans="1:5" x14ac:dyDescent="0.25">
      <c r="A149">
        <v>3699.7870899999998</v>
      </c>
      <c r="B149">
        <v>0.94464999999999999</v>
      </c>
      <c r="D149">
        <v>3699.7870899999998</v>
      </c>
      <c r="E149">
        <v>0.94591000000000003</v>
      </c>
    </row>
    <row r="150" spans="1:5" x14ac:dyDescent="0.25">
      <c r="A150">
        <v>3697.7463899999998</v>
      </c>
      <c r="B150">
        <v>0.94303999999999999</v>
      </c>
      <c r="D150">
        <v>3697.7463899999998</v>
      </c>
      <c r="E150">
        <v>0.94359999999999999</v>
      </c>
    </row>
    <row r="151" spans="1:5" x14ac:dyDescent="0.25">
      <c r="A151">
        <v>3695.7056899999998</v>
      </c>
      <c r="B151">
        <v>0.94118000000000002</v>
      </c>
      <c r="D151">
        <v>3695.7056899999998</v>
      </c>
      <c r="E151">
        <v>0.94196999999999997</v>
      </c>
    </row>
    <row r="152" spans="1:5" x14ac:dyDescent="0.25">
      <c r="A152">
        <v>3693.6649900000002</v>
      </c>
      <c r="B152">
        <v>0.93937999999999999</v>
      </c>
      <c r="D152">
        <v>3693.6649900000002</v>
      </c>
      <c r="E152">
        <v>0.94235000000000002</v>
      </c>
    </row>
    <row r="153" spans="1:5" x14ac:dyDescent="0.25">
      <c r="A153">
        <v>3691.6242900000002</v>
      </c>
      <c r="B153">
        <v>0.93761000000000005</v>
      </c>
      <c r="D153">
        <v>3691.6242900000002</v>
      </c>
      <c r="E153">
        <v>0.94194</v>
      </c>
    </row>
    <row r="154" spans="1:5" x14ac:dyDescent="0.25">
      <c r="A154">
        <v>3689.5835900000002</v>
      </c>
      <c r="B154">
        <v>0.93516999999999995</v>
      </c>
      <c r="D154">
        <v>3689.5835900000002</v>
      </c>
      <c r="E154">
        <v>0.93713000000000002</v>
      </c>
    </row>
    <row r="155" spans="1:5" x14ac:dyDescent="0.25">
      <c r="A155">
        <v>3687.5428900000002</v>
      </c>
      <c r="B155">
        <v>0.93213000000000001</v>
      </c>
      <c r="D155">
        <v>3687.5428900000002</v>
      </c>
      <c r="E155">
        <v>0.92969999999999997</v>
      </c>
    </row>
    <row r="156" spans="1:5" x14ac:dyDescent="0.25">
      <c r="A156">
        <v>3685.5021900000002</v>
      </c>
      <c r="B156">
        <v>0.92879</v>
      </c>
      <c r="D156">
        <v>3685.5021900000002</v>
      </c>
      <c r="E156">
        <v>0.92581999999999998</v>
      </c>
    </row>
    <row r="157" spans="1:5" x14ac:dyDescent="0.25">
      <c r="A157">
        <v>3683.4614900000001</v>
      </c>
      <c r="B157">
        <v>0.92508999999999997</v>
      </c>
      <c r="D157">
        <v>3683.4614900000001</v>
      </c>
      <c r="E157">
        <v>0.92473000000000005</v>
      </c>
    </row>
    <row r="158" spans="1:5" x14ac:dyDescent="0.25">
      <c r="A158">
        <v>3681.4207999999999</v>
      </c>
      <c r="B158">
        <v>0.92122000000000004</v>
      </c>
      <c r="D158">
        <v>3681.4207999999999</v>
      </c>
      <c r="E158">
        <v>0.92390000000000005</v>
      </c>
    </row>
    <row r="159" spans="1:5" x14ac:dyDescent="0.25">
      <c r="A159">
        <v>3679.3800999999999</v>
      </c>
      <c r="B159">
        <v>0.91732000000000002</v>
      </c>
      <c r="D159">
        <v>3679.3800999999999</v>
      </c>
      <c r="E159">
        <v>0.92225999999999997</v>
      </c>
    </row>
    <row r="160" spans="1:5" x14ac:dyDescent="0.25">
      <c r="A160">
        <v>3677.3393999999998</v>
      </c>
      <c r="B160">
        <v>0.91354000000000002</v>
      </c>
      <c r="D160">
        <v>3677.3393999999998</v>
      </c>
      <c r="E160">
        <v>0.91666000000000003</v>
      </c>
    </row>
    <row r="161" spans="1:5" x14ac:dyDescent="0.25">
      <c r="A161">
        <v>3675.2986999999998</v>
      </c>
      <c r="B161">
        <v>0.91020000000000001</v>
      </c>
      <c r="D161">
        <v>3675.2986999999998</v>
      </c>
      <c r="E161">
        <v>0.90744000000000002</v>
      </c>
    </row>
    <row r="162" spans="1:5" x14ac:dyDescent="0.25">
      <c r="A162">
        <v>3673.2579999999998</v>
      </c>
      <c r="B162">
        <v>0.90754999999999997</v>
      </c>
      <c r="D162">
        <v>3673.2579999999998</v>
      </c>
      <c r="E162">
        <v>0.90368999999999999</v>
      </c>
    </row>
    <row r="163" spans="1:5" x14ac:dyDescent="0.25">
      <c r="A163">
        <v>3671.2172999999998</v>
      </c>
      <c r="B163">
        <v>0.90508999999999995</v>
      </c>
      <c r="D163">
        <v>3671.2172999999998</v>
      </c>
      <c r="E163">
        <v>0.90110999999999997</v>
      </c>
    </row>
    <row r="164" spans="1:5" x14ac:dyDescent="0.25">
      <c r="A164">
        <v>3669.1765999999998</v>
      </c>
      <c r="B164">
        <v>0.90234999999999999</v>
      </c>
      <c r="D164">
        <v>3669.1765999999998</v>
      </c>
      <c r="E164">
        <v>0.89846999999999999</v>
      </c>
    </row>
    <row r="165" spans="1:5" x14ac:dyDescent="0.25">
      <c r="A165">
        <v>3667.1359000000002</v>
      </c>
      <c r="B165">
        <v>0.89959</v>
      </c>
      <c r="D165">
        <v>3667.1359000000002</v>
      </c>
      <c r="E165">
        <v>0.89822999999999997</v>
      </c>
    </row>
    <row r="166" spans="1:5" x14ac:dyDescent="0.25">
      <c r="A166">
        <v>3665.0952000000002</v>
      </c>
      <c r="B166">
        <v>0.89688000000000001</v>
      </c>
      <c r="D166">
        <v>3665.0952000000002</v>
      </c>
      <c r="E166">
        <v>0.89739000000000002</v>
      </c>
    </row>
    <row r="167" spans="1:5" x14ac:dyDescent="0.25">
      <c r="A167">
        <v>3663.0545099999999</v>
      </c>
      <c r="B167">
        <v>0.89395000000000002</v>
      </c>
      <c r="D167">
        <v>3663.0545099999999</v>
      </c>
      <c r="E167">
        <v>0.89544000000000001</v>
      </c>
    </row>
    <row r="168" spans="1:5" x14ac:dyDescent="0.25">
      <c r="A168">
        <v>3661.0138099999999</v>
      </c>
      <c r="B168">
        <v>0.89063000000000003</v>
      </c>
      <c r="D168">
        <v>3661.0138099999999</v>
      </c>
      <c r="E168">
        <v>0.89339000000000002</v>
      </c>
    </row>
    <row r="169" spans="1:5" x14ac:dyDescent="0.25">
      <c r="A169">
        <v>3658.9731099999999</v>
      </c>
      <c r="B169">
        <v>0.88678000000000001</v>
      </c>
      <c r="D169">
        <v>3658.9731099999999</v>
      </c>
      <c r="E169">
        <v>0.89041999999999999</v>
      </c>
    </row>
    <row r="170" spans="1:5" x14ac:dyDescent="0.25">
      <c r="A170">
        <v>3656.9324099999999</v>
      </c>
      <c r="B170">
        <v>0.88209000000000004</v>
      </c>
      <c r="D170">
        <v>3656.9324099999999</v>
      </c>
      <c r="E170">
        <v>0.88429000000000002</v>
      </c>
    </row>
    <row r="171" spans="1:5" x14ac:dyDescent="0.25">
      <c r="A171">
        <v>3654.8917099999999</v>
      </c>
      <c r="B171">
        <v>0.87702999999999998</v>
      </c>
      <c r="D171">
        <v>3654.8917099999999</v>
      </c>
      <c r="E171">
        <v>0.87878000000000001</v>
      </c>
    </row>
    <row r="172" spans="1:5" x14ac:dyDescent="0.25">
      <c r="A172">
        <v>3652.8510099999999</v>
      </c>
      <c r="B172">
        <v>0.87199000000000004</v>
      </c>
      <c r="D172">
        <v>3652.8510099999999</v>
      </c>
      <c r="E172">
        <v>0.87446000000000002</v>
      </c>
    </row>
    <row r="173" spans="1:5" x14ac:dyDescent="0.25">
      <c r="A173">
        <v>3650.8103099999998</v>
      </c>
      <c r="B173">
        <v>0.86714999999999998</v>
      </c>
      <c r="D173">
        <v>3650.8103099999998</v>
      </c>
      <c r="E173">
        <v>0.86677000000000004</v>
      </c>
    </row>
    <row r="174" spans="1:5" x14ac:dyDescent="0.25">
      <c r="A174">
        <v>3648.7696099999998</v>
      </c>
      <c r="B174">
        <v>0.86265000000000003</v>
      </c>
      <c r="D174">
        <v>3648.7696099999998</v>
      </c>
      <c r="E174">
        <v>0.85734999999999995</v>
      </c>
    </row>
    <row r="175" spans="1:5" x14ac:dyDescent="0.25">
      <c r="A175">
        <v>3646.7289099999998</v>
      </c>
      <c r="B175">
        <v>0.85867000000000004</v>
      </c>
      <c r="D175">
        <v>3646.7289099999998</v>
      </c>
      <c r="E175">
        <v>0.85099999999999998</v>
      </c>
    </row>
    <row r="176" spans="1:5" x14ac:dyDescent="0.25">
      <c r="A176">
        <v>3644.68822</v>
      </c>
      <c r="B176">
        <v>0.85523000000000005</v>
      </c>
      <c r="D176">
        <v>3644.68822</v>
      </c>
      <c r="E176">
        <v>0.85004000000000002</v>
      </c>
    </row>
    <row r="177" spans="1:5" x14ac:dyDescent="0.25">
      <c r="A177">
        <v>3642.64752</v>
      </c>
      <c r="B177">
        <v>0.85196000000000005</v>
      </c>
      <c r="D177">
        <v>3642.64752</v>
      </c>
      <c r="E177">
        <v>0.85065999999999997</v>
      </c>
    </row>
    <row r="178" spans="1:5" x14ac:dyDescent="0.25">
      <c r="A178">
        <v>3640.60682</v>
      </c>
      <c r="B178">
        <v>0.84874000000000005</v>
      </c>
      <c r="D178">
        <v>3640.60682</v>
      </c>
      <c r="E178">
        <v>0.85087999999999997</v>
      </c>
    </row>
    <row r="179" spans="1:5" x14ac:dyDescent="0.25">
      <c r="A179">
        <v>3638.56612</v>
      </c>
      <c r="B179">
        <v>0.84550999999999998</v>
      </c>
      <c r="D179">
        <v>3638.56612</v>
      </c>
      <c r="E179">
        <v>0.84960000000000002</v>
      </c>
    </row>
    <row r="180" spans="1:5" x14ac:dyDescent="0.25">
      <c r="A180">
        <v>3636.5254199999999</v>
      </c>
      <c r="B180">
        <v>0.84253999999999996</v>
      </c>
      <c r="D180">
        <v>3636.5254199999999</v>
      </c>
      <c r="E180">
        <v>0.84597999999999995</v>
      </c>
    </row>
    <row r="181" spans="1:5" x14ac:dyDescent="0.25">
      <c r="A181">
        <v>3634.4847199999999</v>
      </c>
      <c r="B181">
        <v>0.83980999999999995</v>
      </c>
      <c r="D181">
        <v>3634.4847199999999</v>
      </c>
      <c r="E181">
        <v>0.84092999999999996</v>
      </c>
    </row>
    <row r="182" spans="1:5" x14ac:dyDescent="0.25">
      <c r="A182">
        <v>3632.4440199999999</v>
      </c>
      <c r="B182">
        <v>0.83675999999999995</v>
      </c>
      <c r="D182">
        <v>3632.4440199999999</v>
      </c>
      <c r="E182">
        <v>0.83714999999999995</v>
      </c>
    </row>
    <row r="183" spans="1:5" x14ac:dyDescent="0.25">
      <c r="A183">
        <v>3630.4033199999999</v>
      </c>
      <c r="B183">
        <v>0.83306999999999998</v>
      </c>
      <c r="D183">
        <v>3630.4033199999999</v>
      </c>
      <c r="E183">
        <v>0.83128000000000002</v>
      </c>
    </row>
    <row r="184" spans="1:5" x14ac:dyDescent="0.25">
      <c r="A184">
        <v>3628.3626199999999</v>
      </c>
      <c r="B184">
        <v>0.82867000000000002</v>
      </c>
      <c r="D184">
        <v>3628.3626199999999</v>
      </c>
      <c r="E184">
        <v>0.82335999999999998</v>
      </c>
    </row>
    <row r="185" spans="1:5" x14ac:dyDescent="0.25">
      <c r="A185">
        <v>3626.3219300000001</v>
      </c>
      <c r="B185">
        <v>0.82391999999999999</v>
      </c>
      <c r="D185">
        <v>3626.3219300000001</v>
      </c>
      <c r="E185">
        <v>0.81967999999999996</v>
      </c>
    </row>
    <row r="186" spans="1:5" x14ac:dyDescent="0.25">
      <c r="A186">
        <v>3624.2812300000001</v>
      </c>
      <c r="B186">
        <v>0.81923999999999997</v>
      </c>
      <c r="D186">
        <v>3624.2812300000001</v>
      </c>
      <c r="E186">
        <v>0.81888000000000005</v>
      </c>
    </row>
    <row r="187" spans="1:5" x14ac:dyDescent="0.25">
      <c r="A187">
        <v>3622.24053</v>
      </c>
      <c r="B187">
        <v>0.81481999999999999</v>
      </c>
      <c r="D187">
        <v>3622.24053</v>
      </c>
      <c r="E187">
        <v>0.81749000000000005</v>
      </c>
    </row>
    <row r="188" spans="1:5" x14ac:dyDescent="0.25">
      <c r="A188">
        <v>3620.19983</v>
      </c>
      <c r="B188">
        <v>0.81089999999999995</v>
      </c>
      <c r="D188">
        <v>3620.19983</v>
      </c>
      <c r="E188">
        <v>0.81330999999999998</v>
      </c>
    </row>
    <row r="189" spans="1:5" x14ac:dyDescent="0.25">
      <c r="A189">
        <v>3618.15913</v>
      </c>
      <c r="B189">
        <v>0.80757000000000001</v>
      </c>
      <c r="D189">
        <v>3618.15913</v>
      </c>
      <c r="E189">
        <v>0.80847000000000002</v>
      </c>
    </row>
    <row r="190" spans="1:5" x14ac:dyDescent="0.25">
      <c r="A190">
        <v>3616.11843</v>
      </c>
      <c r="B190">
        <v>0.80474999999999997</v>
      </c>
      <c r="D190">
        <v>3616.11843</v>
      </c>
      <c r="E190">
        <v>0.80464999999999998</v>
      </c>
    </row>
    <row r="191" spans="1:5" x14ac:dyDescent="0.25">
      <c r="A191">
        <v>3614.07773</v>
      </c>
      <c r="B191">
        <v>0.80250999999999995</v>
      </c>
      <c r="D191">
        <v>3614.07773</v>
      </c>
      <c r="E191">
        <v>0.80057999999999996</v>
      </c>
    </row>
    <row r="192" spans="1:5" x14ac:dyDescent="0.25">
      <c r="A192">
        <v>3612.03703</v>
      </c>
      <c r="B192">
        <v>0.80049000000000003</v>
      </c>
      <c r="D192">
        <v>3612.03703</v>
      </c>
      <c r="E192">
        <v>0.79808000000000001</v>
      </c>
    </row>
    <row r="193" spans="1:5" x14ac:dyDescent="0.25">
      <c r="A193">
        <v>3609.9963299999999</v>
      </c>
      <c r="B193">
        <v>0.79815000000000003</v>
      </c>
      <c r="D193">
        <v>3609.9963299999999</v>
      </c>
      <c r="E193">
        <v>0.79605000000000004</v>
      </c>
    </row>
    <row r="194" spans="1:5" x14ac:dyDescent="0.25">
      <c r="A194">
        <v>3607.9556400000001</v>
      </c>
      <c r="B194">
        <v>0.79569999999999996</v>
      </c>
      <c r="D194">
        <v>3607.9556400000001</v>
      </c>
      <c r="E194">
        <v>0.79361999999999999</v>
      </c>
    </row>
    <row r="195" spans="1:5" x14ac:dyDescent="0.25">
      <c r="A195">
        <v>3605.9149400000001</v>
      </c>
      <c r="B195">
        <v>0.79362999999999995</v>
      </c>
      <c r="D195">
        <v>3605.9149400000001</v>
      </c>
      <c r="E195">
        <v>0.79332000000000003</v>
      </c>
    </row>
    <row r="196" spans="1:5" x14ac:dyDescent="0.25">
      <c r="A196">
        <v>3603.8742400000001</v>
      </c>
      <c r="B196">
        <v>0.79188000000000003</v>
      </c>
      <c r="D196">
        <v>3603.8742400000001</v>
      </c>
      <c r="E196">
        <v>0.79332000000000003</v>
      </c>
    </row>
    <row r="197" spans="1:5" x14ac:dyDescent="0.25">
      <c r="A197">
        <v>3601.8335400000001</v>
      </c>
      <c r="B197">
        <v>0.78966999999999998</v>
      </c>
      <c r="D197">
        <v>3601.8335400000001</v>
      </c>
      <c r="E197">
        <v>0.79110000000000003</v>
      </c>
    </row>
    <row r="198" spans="1:5" x14ac:dyDescent="0.25">
      <c r="A198">
        <v>3599.7928400000001</v>
      </c>
      <c r="B198">
        <v>0.78678999999999999</v>
      </c>
      <c r="D198">
        <v>3599.7928400000001</v>
      </c>
      <c r="E198">
        <v>0.78759999999999997</v>
      </c>
    </row>
    <row r="199" spans="1:5" x14ac:dyDescent="0.25">
      <c r="A199">
        <v>3597.7521400000001</v>
      </c>
      <c r="B199">
        <v>0.78352999999999995</v>
      </c>
      <c r="D199">
        <v>3597.7521400000001</v>
      </c>
      <c r="E199">
        <v>0.78352999999999995</v>
      </c>
    </row>
    <row r="200" spans="1:5" x14ac:dyDescent="0.25">
      <c r="A200">
        <v>3595.71144</v>
      </c>
      <c r="B200">
        <v>0.77998999999999996</v>
      </c>
      <c r="D200">
        <v>3595.71144</v>
      </c>
      <c r="E200">
        <v>0.77886999999999995</v>
      </c>
    </row>
    <row r="201" spans="1:5" x14ac:dyDescent="0.25">
      <c r="A201">
        <v>3593.67074</v>
      </c>
      <c r="B201">
        <v>0.77639000000000002</v>
      </c>
      <c r="D201">
        <v>3593.67074</v>
      </c>
      <c r="E201">
        <v>0.77524000000000004</v>
      </c>
    </row>
    <row r="202" spans="1:5" x14ac:dyDescent="0.25">
      <c r="A202">
        <v>3591.63004</v>
      </c>
      <c r="B202">
        <v>0.77295000000000003</v>
      </c>
      <c r="D202">
        <v>3591.63004</v>
      </c>
      <c r="E202">
        <v>0.77254</v>
      </c>
    </row>
    <row r="203" spans="1:5" x14ac:dyDescent="0.25">
      <c r="A203">
        <v>3589.5893500000002</v>
      </c>
      <c r="B203">
        <v>0.76973000000000003</v>
      </c>
      <c r="D203">
        <v>3589.5893500000002</v>
      </c>
      <c r="E203">
        <v>0.76722000000000001</v>
      </c>
    </row>
    <row r="204" spans="1:5" x14ac:dyDescent="0.25">
      <c r="A204">
        <v>3587.5486500000002</v>
      </c>
      <c r="B204">
        <v>0.76693</v>
      </c>
      <c r="D204">
        <v>3587.5486500000002</v>
      </c>
      <c r="E204">
        <v>0.76121000000000005</v>
      </c>
    </row>
    <row r="205" spans="1:5" x14ac:dyDescent="0.25">
      <c r="A205">
        <v>3585.5079500000002</v>
      </c>
      <c r="B205">
        <v>0.76468000000000003</v>
      </c>
      <c r="D205">
        <v>3585.5079500000002</v>
      </c>
      <c r="E205">
        <v>0.76017999999999997</v>
      </c>
    </row>
    <row r="206" spans="1:5" x14ac:dyDescent="0.25">
      <c r="A206">
        <v>3583.4672500000001</v>
      </c>
      <c r="B206">
        <v>0.76261999999999996</v>
      </c>
      <c r="D206">
        <v>3583.4672500000001</v>
      </c>
      <c r="E206">
        <v>0.76134000000000002</v>
      </c>
    </row>
    <row r="207" spans="1:5" x14ac:dyDescent="0.25">
      <c r="A207">
        <v>3581.4265500000001</v>
      </c>
      <c r="B207">
        <v>0.76014999999999999</v>
      </c>
      <c r="D207">
        <v>3581.4265500000001</v>
      </c>
      <c r="E207">
        <v>0.76041000000000003</v>
      </c>
    </row>
    <row r="208" spans="1:5" x14ac:dyDescent="0.25">
      <c r="A208">
        <v>3579.3858500000001</v>
      </c>
      <c r="B208">
        <v>0.75705999999999996</v>
      </c>
      <c r="D208">
        <v>3579.3858500000001</v>
      </c>
      <c r="E208">
        <v>0.75826000000000005</v>
      </c>
    </row>
    <row r="209" spans="1:5" x14ac:dyDescent="0.25">
      <c r="A209">
        <v>3577.3451500000001</v>
      </c>
      <c r="B209">
        <v>0.75356999999999996</v>
      </c>
      <c r="D209">
        <v>3577.3451500000001</v>
      </c>
      <c r="E209">
        <v>0.75602999999999998</v>
      </c>
    </row>
    <row r="210" spans="1:5" x14ac:dyDescent="0.25">
      <c r="A210">
        <v>3575.3044500000001</v>
      </c>
      <c r="B210">
        <v>0.74995999999999996</v>
      </c>
      <c r="D210">
        <v>3575.3044500000001</v>
      </c>
      <c r="E210">
        <v>0.75287999999999999</v>
      </c>
    </row>
    <row r="211" spans="1:5" x14ac:dyDescent="0.25">
      <c r="A211">
        <v>3573.2637500000001</v>
      </c>
      <c r="B211">
        <v>0.74641999999999997</v>
      </c>
      <c r="D211">
        <v>3573.2637500000001</v>
      </c>
      <c r="E211">
        <v>0.74856</v>
      </c>
    </row>
    <row r="212" spans="1:5" x14ac:dyDescent="0.25">
      <c r="A212">
        <v>3571.2230599999998</v>
      </c>
      <c r="B212">
        <v>0.74278</v>
      </c>
      <c r="D212">
        <v>3571.2230599999998</v>
      </c>
      <c r="E212">
        <v>0.74314000000000002</v>
      </c>
    </row>
    <row r="213" spans="1:5" x14ac:dyDescent="0.25">
      <c r="A213">
        <v>3569.1823599999998</v>
      </c>
      <c r="B213">
        <v>0.73887000000000003</v>
      </c>
      <c r="D213">
        <v>3569.1823599999998</v>
      </c>
      <c r="E213">
        <v>0.73514999999999997</v>
      </c>
    </row>
    <row r="214" spans="1:5" x14ac:dyDescent="0.25">
      <c r="A214">
        <v>3567.1416599999998</v>
      </c>
      <c r="B214">
        <v>0.73494999999999999</v>
      </c>
      <c r="D214">
        <v>3567.1416599999998</v>
      </c>
      <c r="E214">
        <v>0.72716000000000003</v>
      </c>
    </row>
    <row r="215" spans="1:5" x14ac:dyDescent="0.25">
      <c r="A215">
        <v>3565.1009600000002</v>
      </c>
      <c r="B215">
        <v>0.73133000000000004</v>
      </c>
      <c r="D215">
        <v>3565.1009600000002</v>
      </c>
      <c r="E215">
        <v>0.72484999999999999</v>
      </c>
    </row>
    <row r="216" spans="1:5" x14ac:dyDescent="0.25">
      <c r="A216">
        <v>3563.0602600000002</v>
      </c>
      <c r="B216">
        <v>0.72797999999999996</v>
      </c>
      <c r="D216">
        <v>3563.0602600000002</v>
      </c>
      <c r="E216">
        <v>0.72563999999999995</v>
      </c>
    </row>
    <row r="217" spans="1:5" x14ac:dyDescent="0.25">
      <c r="A217">
        <v>3561.0195600000002</v>
      </c>
      <c r="B217">
        <v>0.72468999999999995</v>
      </c>
      <c r="D217">
        <v>3561.0195600000002</v>
      </c>
      <c r="E217">
        <v>0.72509999999999997</v>
      </c>
    </row>
    <row r="218" spans="1:5" x14ac:dyDescent="0.25">
      <c r="A218">
        <v>3558.9788600000002</v>
      </c>
      <c r="B218">
        <v>0.72143000000000002</v>
      </c>
      <c r="D218">
        <v>3558.9788600000002</v>
      </c>
      <c r="E218">
        <v>0.72360000000000002</v>
      </c>
    </row>
    <row r="219" spans="1:5" x14ac:dyDescent="0.25">
      <c r="A219">
        <v>3556.9381600000002</v>
      </c>
      <c r="B219">
        <v>0.71838000000000002</v>
      </c>
      <c r="D219">
        <v>3556.9381600000002</v>
      </c>
      <c r="E219">
        <v>0.72155000000000002</v>
      </c>
    </row>
    <row r="220" spans="1:5" x14ac:dyDescent="0.25">
      <c r="A220">
        <v>3554.8974600000001</v>
      </c>
      <c r="B220">
        <v>0.71562000000000003</v>
      </c>
      <c r="D220">
        <v>3554.8974600000001</v>
      </c>
      <c r="E220">
        <v>0.71784999999999999</v>
      </c>
    </row>
    <row r="221" spans="1:5" x14ac:dyDescent="0.25">
      <c r="A221">
        <v>3552.8567699999999</v>
      </c>
      <c r="B221">
        <v>0.71299000000000001</v>
      </c>
      <c r="D221">
        <v>3552.8567699999999</v>
      </c>
      <c r="E221">
        <v>0.71284999999999998</v>
      </c>
    </row>
    <row r="222" spans="1:5" x14ac:dyDescent="0.25">
      <c r="A222">
        <v>3550.8160699999999</v>
      </c>
      <c r="B222">
        <v>0.71006000000000002</v>
      </c>
      <c r="D222">
        <v>3550.8160699999999</v>
      </c>
      <c r="E222">
        <v>0.70850999999999997</v>
      </c>
    </row>
    <row r="223" spans="1:5" x14ac:dyDescent="0.25">
      <c r="A223">
        <v>3548.7753699999998</v>
      </c>
      <c r="B223">
        <v>0.70664000000000005</v>
      </c>
      <c r="D223">
        <v>3548.7753699999998</v>
      </c>
      <c r="E223">
        <v>0.70399</v>
      </c>
    </row>
    <row r="224" spans="1:5" x14ac:dyDescent="0.25">
      <c r="A224">
        <v>3546.7346699999998</v>
      </c>
      <c r="B224">
        <v>0.70316000000000001</v>
      </c>
      <c r="D224">
        <v>3546.7346699999998</v>
      </c>
      <c r="E224">
        <v>0.69889000000000001</v>
      </c>
    </row>
    <row r="225" spans="1:5" x14ac:dyDescent="0.25">
      <c r="A225">
        <v>3544.6939699999998</v>
      </c>
      <c r="B225">
        <v>0.69987999999999995</v>
      </c>
      <c r="D225">
        <v>3544.6939699999998</v>
      </c>
      <c r="E225">
        <v>0.69601999999999997</v>
      </c>
    </row>
    <row r="226" spans="1:5" x14ac:dyDescent="0.25">
      <c r="A226">
        <v>3542.6532699999998</v>
      </c>
      <c r="B226">
        <v>0.69669000000000003</v>
      </c>
      <c r="D226">
        <v>3542.6532699999998</v>
      </c>
      <c r="E226">
        <v>0.69520000000000004</v>
      </c>
    </row>
    <row r="227" spans="1:5" x14ac:dyDescent="0.25">
      <c r="A227">
        <v>3540.6125699999998</v>
      </c>
      <c r="B227">
        <v>0.69349000000000005</v>
      </c>
      <c r="D227">
        <v>3540.6125699999998</v>
      </c>
      <c r="E227">
        <v>0.69384000000000001</v>
      </c>
    </row>
    <row r="228" spans="1:5" x14ac:dyDescent="0.25">
      <c r="A228">
        <v>3538.5718700000002</v>
      </c>
      <c r="B228">
        <v>0.69020000000000004</v>
      </c>
      <c r="D228">
        <v>3538.5718700000002</v>
      </c>
      <c r="E228">
        <v>0.69091999999999998</v>
      </c>
    </row>
    <row r="229" spans="1:5" x14ac:dyDescent="0.25">
      <c r="A229">
        <v>3536.5311700000002</v>
      </c>
      <c r="B229">
        <v>0.68674999999999997</v>
      </c>
      <c r="D229">
        <v>3536.5311700000002</v>
      </c>
      <c r="E229">
        <v>0.68713000000000002</v>
      </c>
    </row>
    <row r="230" spans="1:5" x14ac:dyDescent="0.25">
      <c r="A230">
        <v>3534.4904799999999</v>
      </c>
      <c r="B230">
        <v>0.68310999999999999</v>
      </c>
      <c r="D230">
        <v>3534.4904799999999</v>
      </c>
      <c r="E230">
        <v>0.68355999999999995</v>
      </c>
    </row>
    <row r="231" spans="1:5" x14ac:dyDescent="0.25">
      <c r="A231">
        <v>3532.4497799999999</v>
      </c>
      <c r="B231">
        <v>0.67935000000000001</v>
      </c>
      <c r="D231">
        <v>3532.4497799999999</v>
      </c>
      <c r="E231">
        <v>0.67978000000000005</v>
      </c>
    </row>
    <row r="232" spans="1:5" x14ac:dyDescent="0.25">
      <c r="A232">
        <v>3530.4090799999999</v>
      </c>
      <c r="B232">
        <v>0.67547000000000001</v>
      </c>
      <c r="D232">
        <v>3530.4090799999999</v>
      </c>
      <c r="E232">
        <v>0.67503999999999997</v>
      </c>
    </row>
    <row r="233" spans="1:5" x14ac:dyDescent="0.25">
      <c r="A233">
        <v>3528.3683799999999</v>
      </c>
      <c r="B233">
        <v>0.67142999999999997</v>
      </c>
      <c r="D233">
        <v>3528.3683799999999</v>
      </c>
      <c r="E233">
        <v>0.66957</v>
      </c>
    </row>
    <row r="234" spans="1:5" x14ac:dyDescent="0.25">
      <c r="A234">
        <v>3526.3276799999999</v>
      </c>
      <c r="B234">
        <v>0.66744000000000003</v>
      </c>
      <c r="D234">
        <v>3526.3276799999999</v>
      </c>
      <c r="E234">
        <v>0.66457999999999995</v>
      </c>
    </row>
    <row r="235" spans="1:5" x14ac:dyDescent="0.25">
      <c r="A235">
        <v>3524.2869799999999</v>
      </c>
      <c r="B235">
        <v>0.66369999999999996</v>
      </c>
      <c r="D235">
        <v>3524.2869799999999</v>
      </c>
      <c r="E235">
        <v>0.66113999999999995</v>
      </c>
    </row>
    <row r="236" spans="1:5" x14ac:dyDescent="0.25">
      <c r="A236">
        <v>3522.2462799999998</v>
      </c>
      <c r="B236">
        <v>0.66019000000000005</v>
      </c>
      <c r="D236">
        <v>3522.2462799999998</v>
      </c>
      <c r="E236">
        <v>0.65896999999999994</v>
      </c>
    </row>
    <row r="237" spans="1:5" x14ac:dyDescent="0.25">
      <c r="A237">
        <v>3520.2055799999998</v>
      </c>
      <c r="B237">
        <v>0.65688999999999997</v>
      </c>
      <c r="D237">
        <v>3520.2055799999998</v>
      </c>
      <c r="E237">
        <v>0.65688999999999997</v>
      </c>
    </row>
    <row r="238" spans="1:5" x14ac:dyDescent="0.25">
      <c r="A238">
        <v>3518.1648799999998</v>
      </c>
      <c r="B238">
        <v>0.65366999999999997</v>
      </c>
      <c r="D238">
        <v>3518.1648799999998</v>
      </c>
      <c r="E238">
        <v>0.65449000000000002</v>
      </c>
    </row>
    <row r="239" spans="1:5" x14ac:dyDescent="0.25">
      <c r="A239">
        <v>3516.12419</v>
      </c>
      <c r="B239">
        <v>0.65046999999999999</v>
      </c>
      <c r="D239">
        <v>3516.12419</v>
      </c>
      <c r="E239">
        <v>0.65210000000000001</v>
      </c>
    </row>
    <row r="240" spans="1:5" x14ac:dyDescent="0.25">
      <c r="A240">
        <v>3514.08349</v>
      </c>
      <c r="B240">
        <v>0.64731000000000005</v>
      </c>
      <c r="D240">
        <v>3514.08349</v>
      </c>
      <c r="E240">
        <v>0.64898999999999996</v>
      </c>
    </row>
    <row r="241" spans="1:5" x14ac:dyDescent="0.25">
      <c r="A241">
        <v>3512.04279</v>
      </c>
      <c r="B241">
        <v>0.64410999999999996</v>
      </c>
      <c r="D241">
        <v>3512.04279</v>
      </c>
      <c r="E241">
        <v>0.64431000000000005</v>
      </c>
    </row>
    <row r="242" spans="1:5" x14ac:dyDescent="0.25">
      <c r="A242">
        <v>3510.00209</v>
      </c>
      <c r="B242">
        <v>0.64076999999999995</v>
      </c>
      <c r="D242">
        <v>3510.00209</v>
      </c>
      <c r="E242">
        <v>0.63883000000000001</v>
      </c>
    </row>
    <row r="243" spans="1:5" x14ac:dyDescent="0.25">
      <c r="A243">
        <v>3507.9613899999999</v>
      </c>
      <c r="B243">
        <v>0.63727999999999996</v>
      </c>
      <c r="D243">
        <v>3507.9613899999999</v>
      </c>
      <c r="E243">
        <v>0.63446000000000002</v>
      </c>
    </row>
    <row r="244" spans="1:5" x14ac:dyDescent="0.25">
      <c r="A244">
        <v>3505.9206899999999</v>
      </c>
      <c r="B244">
        <v>0.63366999999999996</v>
      </c>
      <c r="D244">
        <v>3505.9206899999999</v>
      </c>
      <c r="E244">
        <v>0.63073000000000001</v>
      </c>
    </row>
    <row r="245" spans="1:5" x14ac:dyDescent="0.25">
      <c r="A245">
        <v>3503.8799899999999</v>
      </c>
      <c r="B245">
        <v>0.63005</v>
      </c>
      <c r="D245">
        <v>3503.8799899999999</v>
      </c>
      <c r="E245">
        <v>0.62629999999999997</v>
      </c>
    </row>
    <row r="246" spans="1:5" x14ac:dyDescent="0.25">
      <c r="A246">
        <v>3501.8392899999999</v>
      </c>
      <c r="B246">
        <v>0.62653999999999999</v>
      </c>
      <c r="D246">
        <v>3501.8392899999999</v>
      </c>
      <c r="E246">
        <v>0.62270000000000003</v>
      </c>
    </row>
    <row r="247" spans="1:5" x14ac:dyDescent="0.25">
      <c r="A247">
        <v>3499.7985899999999</v>
      </c>
      <c r="B247">
        <v>0.62324000000000002</v>
      </c>
      <c r="D247">
        <v>3499.7985899999999</v>
      </c>
      <c r="E247">
        <v>0.62082999999999999</v>
      </c>
    </row>
    <row r="248" spans="1:5" x14ac:dyDescent="0.25">
      <c r="A248">
        <v>3497.7579000000001</v>
      </c>
      <c r="B248">
        <v>0.62014000000000002</v>
      </c>
      <c r="D248">
        <v>3497.7579000000001</v>
      </c>
      <c r="E248">
        <v>0.61912999999999996</v>
      </c>
    </row>
    <row r="249" spans="1:5" x14ac:dyDescent="0.25">
      <c r="A249">
        <v>3495.7172</v>
      </c>
      <c r="B249">
        <v>0.61712</v>
      </c>
      <c r="D249">
        <v>3495.7172</v>
      </c>
      <c r="E249">
        <v>0.61658000000000002</v>
      </c>
    </row>
    <row r="250" spans="1:5" x14ac:dyDescent="0.25">
      <c r="A250">
        <v>3493.6765</v>
      </c>
      <c r="B250">
        <v>0.61409000000000002</v>
      </c>
      <c r="D250">
        <v>3493.6765</v>
      </c>
      <c r="E250">
        <v>0.61341999999999997</v>
      </c>
    </row>
    <row r="251" spans="1:5" x14ac:dyDescent="0.25">
      <c r="A251">
        <v>3491.6358</v>
      </c>
      <c r="B251">
        <v>0.61099000000000003</v>
      </c>
      <c r="D251">
        <v>3491.6358</v>
      </c>
      <c r="E251">
        <v>0.60994999999999999</v>
      </c>
    </row>
    <row r="252" spans="1:5" x14ac:dyDescent="0.25">
      <c r="A252">
        <v>3489.5951</v>
      </c>
      <c r="B252">
        <v>0.60780999999999996</v>
      </c>
      <c r="D252">
        <v>3489.5951</v>
      </c>
      <c r="E252">
        <v>0.60631999999999997</v>
      </c>
    </row>
    <row r="253" spans="1:5" x14ac:dyDescent="0.25">
      <c r="A253">
        <v>3487.5544</v>
      </c>
      <c r="B253">
        <v>0.60451999999999995</v>
      </c>
      <c r="D253">
        <v>3487.5544</v>
      </c>
      <c r="E253">
        <v>0.60287999999999997</v>
      </c>
    </row>
    <row r="254" spans="1:5" x14ac:dyDescent="0.25">
      <c r="A254">
        <v>3485.5137</v>
      </c>
      <c r="B254">
        <v>0.60102999999999995</v>
      </c>
      <c r="D254">
        <v>3485.5137</v>
      </c>
      <c r="E254">
        <v>0.59979000000000005</v>
      </c>
    </row>
    <row r="255" spans="1:5" x14ac:dyDescent="0.25">
      <c r="A255">
        <v>3483.473</v>
      </c>
      <c r="B255">
        <v>0.59743000000000002</v>
      </c>
      <c r="D255">
        <v>3483.473</v>
      </c>
      <c r="E255">
        <v>0.59628999999999999</v>
      </c>
    </row>
    <row r="256" spans="1:5" x14ac:dyDescent="0.25">
      <c r="A256">
        <v>3481.4322999999999</v>
      </c>
      <c r="B256">
        <v>0.59389000000000003</v>
      </c>
      <c r="D256">
        <v>3481.4322999999999</v>
      </c>
      <c r="E256">
        <v>0.59241999999999995</v>
      </c>
    </row>
    <row r="257" spans="1:5" x14ac:dyDescent="0.25">
      <c r="A257">
        <v>3479.3916100000001</v>
      </c>
      <c r="B257">
        <v>0.59047000000000005</v>
      </c>
      <c r="D257">
        <v>3479.3916100000001</v>
      </c>
      <c r="E257">
        <v>0.58892999999999995</v>
      </c>
    </row>
    <row r="258" spans="1:5" x14ac:dyDescent="0.25">
      <c r="A258">
        <v>3477.3509100000001</v>
      </c>
      <c r="B258">
        <v>0.58714</v>
      </c>
      <c r="D258">
        <v>3477.3509100000001</v>
      </c>
      <c r="E258">
        <v>0.58552999999999999</v>
      </c>
    </row>
    <row r="259" spans="1:5" x14ac:dyDescent="0.25">
      <c r="A259">
        <v>3475.3102100000001</v>
      </c>
      <c r="B259">
        <v>0.58386000000000005</v>
      </c>
      <c r="D259">
        <v>3475.3102100000001</v>
      </c>
      <c r="E259">
        <v>0.58209999999999995</v>
      </c>
    </row>
    <row r="260" spans="1:5" x14ac:dyDescent="0.25">
      <c r="A260">
        <v>3473.2695100000001</v>
      </c>
      <c r="B260">
        <v>0.58057999999999998</v>
      </c>
      <c r="D260">
        <v>3473.2695100000001</v>
      </c>
      <c r="E260">
        <v>0.57913000000000003</v>
      </c>
    </row>
    <row r="261" spans="1:5" x14ac:dyDescent="0.25">
      <c r="A261">
        <v>3471.2288100000001</v>
      </c>
      <c r="B261">
        <v>0.57726999999999995</v>
      </c>
      <c r="D261">
        <v>3471.2288100000001</v>
      </c>
      <c r="E261">
        <v>0.57647000000000004</v>
      </c>
    </row>
    <row r="262" spans="1:5" x14ac:dyDescent="0.25">
      <c r="A262">
        <v>3469.1881100000001</v>
      </c>
      <c r="B262">
        <v>0.57396999999999998</v>
      </c>
      <c r="D262">
        <v>3469.1881100000001</v>
      </c>
      <c r="E262">
        <v>0.57347999999999999</v>
      </c>
    </row>
    <row r="263" spans="1:5" x14ac:dyDescent="0.25">
      <c r="A263">
        <v>3467.14741</v>
      </c>
      <c r="B263">
        <v>0.57069000000000003</v>
      </c>
      <c r="D263">
        <v>3467.14741</v>
      </c>
      <c r="E263">
        <v>0.57001000000000002</v>
      </c>
    </row>
    <row r="264" spans="1:5" x14ac:dyDescent="0.25">
      <c r="A264">
        <v>3465.10671</v>
      </c>
      <c r="B264">
        <v>0.56735999999999998</v>
      </c>
      <c r="D264">
        <v>3465.10671</v>
      </c>
      <c r="E264">
        <v>0.56640000000000001</v>
      </c>
    </row>
    <row r="265" spans="1:5" x14ac:dyDescent="0.25">
      <c r="A265">
        <v>3463.06601</v>
      </c>
      <c r="B265">
        <v>0.56391999999999998</v>
      </c>
      <c r="D265">
        <v>3463.06601</v>
      </c>
      <c r="E265">
        <v>0.56255999999999995</v>
      </c>
    </row>
    <row r="266" spans="1:5" x14ac:dyDescent="0.25">
      <c r="A266">
        <v>3461.0253200000002</v>
      </c>
      <c r="B266">
        <v>0.56037000000000003</v>
      </c>
      <c r="D266">
        <v>3461.0253200000002</v>
      </c>
      <c r="E266">
        <v>0.55896999999999997</v>
      </c>
    </row>
    <row r="267" spans="1:5" x14ac:dyDescent="0.25">
      <c r="A267">
        <v>3458.9846200000002</v>
      </c>
      <c r="B267">
        <v>0.55674999999999997</v>
      </c>
      <c r="D267">
        <v>3458.9846200000002</v>
      </c>
      <c r="E267">
        <v>0.55571999999999999</v>
      </c>
    </row>
    <row r="268" spans="1:5" x14ac:dyDescent="0.25">
      <c r="A268">
        <v>3456.9439200000002</v>
      </c>
      <c r="B268">
        <v>0.55305000000000004</v>
      </c>
      <c r="D268">
        <v>3456.9439200000002</v>
      </c>
      <c r="E268">
        <v>0.55210000000000004</v>
      </c>
    </row>
    <row r="269" spans="1:5" x14ac:dyDescent="0.25">
      <c r="A269">
        <v>3454.9032200000001</v>
      </c>
      <c r="B269">
        <v>0.54932000000000003</v>
      </c>
      <c r="D269">
        <v>3454.9032200000001</v>
      </c>
      <c r="E269">
        <v>0.54815999999999998</v>
      </c>
    </row>
    <row r="270" spans="1:5" x14ac:dyDescent="0.25">
      <c r="A270">
        <v>3452.8625200000001</v>
      </c>
      <c r="B270">
        <v>0.54569999999999996</v>
      </c>
      <c r="D270">
        <v>3452.8625200000001</v>
      </c>
      <c r="E270">
        <v>0.54459000000000002</v>
      </c>
    </row>
    <row r="271" spans="1:5" x14ac:dyDescent="0.25">
      <c r="A271">
        <v>3450.8218200000001</v>
      </c>
      <c r="B271">
        <v>0.54225999999999996</v>
      </c>
      <c r="D271">
        <v>3450.8218200000001</v>
      </c>
      <c r="E271">
        <v>0.54144999999999999</v>
      </c>
    </row>
    <row r="272" spans="1:5" x14ac:dyDescent="0.25">
      <c r="A272">
        <v>3448.7811200000001</v>
      </c>
      <c r="B272">
        <v>0.53898000000000001</v>
      </c>
      <c r="D272">
        <v>3448.7811200000001</v>
      </c>
      <c r="E272">
        <v>0.53805999999999998</v>
      </c>
    </row>
    <row r="273" spans="1:5" x14ac:dyDescent="0.25">
      <c r="A273">
        <v>3446.7404200000001</v>
      </c>
      <c r="B273">
        <v>0.53583999999999998</v>
      </c>
      <c r="D273">
        <v>3446.7404200000001</v>
      </c>
      <c r="E273">
        <v>0.53466000000000002</v>
      </c>
    </row>
    <row r="274" spans="1:5" x14ac:dyDescent="0.25">
      <c r="A274">
        <v>3444.6997200000001</v>
      </c>
      <c r="B274">
        <v>0.53285000000000005</v>
      </c>
      <c r="D274">
        <v>3444.6997200000001</v>
      </c>
      <c r="E274">
        <v>0.53186</v>
      </c>
    </row>
    <row r="275" spans="1:5" x14ac:dyDescent="0.25">
      <c r="A275">
        <v>3442.6590299999998</v>
      </c>
      <c r="B275">
        <v>0.53003</v>
      </c>
      <c r="D275">
        <v>3442.6590299999998</v>
      </c>
      <c r="E275">
        <v>0.52888999999999997</v>
      </c>
    </row>
    <row r="276" spans="1:5" x14ac:dyDescent="0.25">
      <c r="A276">
        <v>3440.6183299999998</v>
      </c>
      <c r="B276">
        <v>0.52732000000000001</v>
      </c>
      <c r="D276">
        <v>3440.6183299999998</v>
      </c>
      <c r="E276">
        <v>0.52592000000000005</v>
      </c>
    </row>
    <row r="277" spans="1:5" x14ac:dyDescent="0.25">
      <c r="A277">
        <v>3438.5776300000002</v>
      </c>
      <c r="B277">
        <v>0.52459999999999996</v>
      </c>
      <c r="D277">
        <v>3438.5776300000002</v>
      </c>
      <c r="E277">
        <v>0.52327000000000001</v>
      </c>
    </row>
    <row r="278" spans="1:5" x14ac:dyDescent="0.25">
      <c r="A278">
        <v>3436.5369300000002</v>
      </c>
      <c r="B278">
        <v>0.52181</v>
      </c>
      <c r="D278">
        <v>3436.5369300000002</v>
      </c>
      <c r="E278">
        <v>0.52063999999999999</v>
      </c>
    </row>
    <row r="279" spans="1:5" x14ac:dyDescent="0.25">
      <c r="A279">
        <v>3434.4962300000002</v>
      </c>
      <c r="B279">
        <v>0.51892000000000005</v>
      </c>
      <c r="D279">
        <v>3434.4962300000002</v>
      </c>
      <c r="E279">
        <v>0.51783000000000001</v>
      </c>
    </row>
    <row r="280" spans="1:5" x14ac:dyDescent="0.25">
      <c r="A280">
        <v>3432.4555300000002</v>
      </c>
      <c r="B280">
        <v>0.51593999999999995</v>
      </c>
      <c r="D280">
        <v>3432.4555300000002</v>
      </c>
      <c r="E280">
        <v>0.51488999999999996</v>
      </c>
    </row>
    <row r="281" spans="1:5" x14ac:dyDescent="0.25">
      <c r="A281">
        <v>3430.4148300000002</v>
      </c>
      <c r="B281">
        <v>0.51283999999999996</v>
      </c>
      <c r="D281">
        <v>3430.4148300000002</v>
      </c>
      <c r="E281">
        <v>0.51198999999999995</v>
      </c>
    </row>
    <row r="282" spans="1:5" x14ac:dyDescent="0.25">
      <c r="A282">
        <v>3428.3741300000002</v>
      </c>
      <c r="B282">
        <v>0.50961999999999996</v>
      </c>
      <c r="D282">
        <v>3428.3741300000002</v>
      </c>
      <c r="E282">
        <v>0.50895999999999997</v>
      </c>
    </row>
    <row r="283" spans="1:5" x14ac:dyDescent="0.25">
      <c r="A283">
        <v>3426.3334300000001</v>
      </c>
      <c r="B283">
        <v>0.50639000000000001</v>
      </c>
      <c r="D283">
        <v>3426.3334300000001</v>
      </c>
      <c r="E283">
        <v>0.50538000000000005</v>
      </c>
    </row>
    <row r="284" spans="1:5" x14ac:dyDescent="0.25">
      <c r="A284">
        <v>3424.2927399999999</v>
      </c>
      <c r="B284">
        <v>0.50319000000000003</v>
      </c>
      <c r="D284">
        <v>3424.2927399999999</v>
      </c>
      <c r="E284">
        <v>0.50141000000000002</v>
      </c>
    </row>
    <row r="285" spans="1:5" x14ac:dyDescent="0.25">
      <c r="A285">
        <v>3422.2520399999999</v>
      </c>
      <c r="B285">
        <v>0.50004999999999999</v>
      </c>
      <c r="D285">
        <v>3422.2520399999999</v>
      </c>
      <c r="E285">
        <v>0.49765999999999999</v>
      </c>
    </row>
    <row r="286" spans="1:5" x14ac:dyDescent="0.25">
      <c r="A286">
        <v>3420.2113399999998</v>
      </c>
      <c r="B286">
        <v>0.49697999999999998</v>
      </c>
      <c r="D286">
        <v>3420.2113399999998</v>
      </c>
      <c r="E286">
        <v>0.49475999999999998</v>
      </c>
    </row>
    <row r="287" spans="1:5" x14ac:dyDescent="0.25">
      <c r="A287">
        <v>3418.1706399999998</v>
      </c>
      <c r="B287">
        <v>0.49403000000000002</v>
      </c>
      <c r="D287">
        <v>3418.1706399999998</v>
      </c>
      <c r="E287">
        <v>0.49248999999999998</v>
      </c>
    </row>
    <row r="288" spans="1:5" x14ac:dyDescent="0.25">
      <c r="A288">
        <v>3416.1299399999998</v>
      </c>
      <c r="B288">
        <v>0.49125999999999997</v>
      </c>
      <c r="D288">
        <v>3416.1299399999998</v>
      </c>
      <c r="E288">
        <v>0.49025000000000002</v>
      </c>
    </row>
    <row r="289" spans="1:5" x14ac:dyDescent="0.25">
      <c r="A289">
        <v>3414.0892399999998</v>
      </c>
      <c r="B289">
        <v>0.48859000000000002</v>
      </c>
      <c r="D289">
        <v>3414.0892399999998</v>
      </c>
      <c r="E289">
        <v>0.48791000000000001</v>
      </c>
    </row>
    <row r="290" spans="1:5" x14ac:dyDescent="0.25">
      <c r="A290">
        <v>3412.0485399999998</v>
      </c>
      <c r="B290">
        <v>0.48597000000000001</v>
      </c>
      <c r="D290">
        <v>3412.0485399999998</v>
      </c>
      <c r="E290">
        <v>0.48537000000000002</v>
      </c>
    </row>
    <row r="291" spans="1:5" x14ac:dyDescent="0.25">
      <c r="A291">
        <v>3410.0078400000002</v>
      </c>
      <c r="B291">
        <v>0.48342000000000002</v>
      </c>
      <c r="D291">
        <v>3410.0078400000002</v>
      </c>
      <c r="E291">
        <v>0.48282000000000003</v>
      </c>
    </row>
    <row r="292" spans="1:5" x14ac:dyDescent="0.25">
      <c r="A292">
        <v>3407.9671400000002</v>
      </c>
      <c r="B292">
        <v>0.48087000000000002</v>
      </c>
      <c r="D292">
        <v>3407.9671400000002</v>
      </c>
      <c r="E292">
        <v>0.48037000000000002</v>
      </c>
    </row>
    <row r="293" spans="1:5" x14ac:dyDescent="0.25">
      <c r="A293">
        <v>3405.9264499999999</v>
      </c>
      <c r="B293">
        <v>0.47828999999999999</v>
      </c>
      <c r="D293">
        <v>3405.9264499999999</v>
      </c>
      <c r="E293">
        <v>0.47783999999999999</v>
      </c>
    </row>
    <row r="294" spans="1:5" x14ac:dyDescent="0.25">
      <c r="A294">
        <v>3403.8857499999999</v>
      </c>
      <c r="B294">
        <v>0.47576000000000002</v>
      </c>
      <c r="D294">
        <v>3403.8857499999999</v>
      </c>
      <c r="E294">
        <v>0.47538000000000002</v>
      </c>
    </row>
    <row r="295" spans="1:5" x14ac:dyDescent="0.25">
      <c r="A295">
        <v>3401.8450499999999</v>
      </c>
      <c r="B295">
        <v>0.4733</v>
      </c>
      <c r="D295">
        <v>3401.8450499999999</v>
      </c>
      <c r="E295">
        <v>0.47266999999999998</v>
      </c>
    </row>
    <row r="296" spans="1:5" x14ac:dyDescent="0.25">
      <c r="A296">
        <v>3399.8043499999999</v>
      </c>
      <c r="B296">
        <v>0.47089999999999999</v>
      </c>
      <c r="D296">
        <v>3399.8043499999999</v>
      </c>
      <c r="E296">
        <v>0.46940999999999999</v>
      </c>
    </row>
    <row r="297" spans="1:5" x14ac:dyDescent="0.25">
      <c r="A297">
        <v>3397.7636499999999</v>
      </c>
      <c r="B297">
        <v>0.46855000000000002</v>
      </c>
      <c r="D297">
        <v>3397.7636499999999</v>
      </c>
      <c r="E297">
        <v>0.46657999999999999</v>
      </c>
    </row>
    <row r="298" spans="1:5" x14ac:dyDescent="0.25">
      <c r="A298">
        <v>3395.7229499999999</v>
      </c>
      <c r="B298">
        <v>0.46631</v>
      </c>
      <c r="D298">
        <v>3395.7229499999999</v>
      </c>
      <c r="E298">
        <v>0.46443000000000001</v>
      </c>
    </row>
    <row r="299" spans="1:5" x14ac:dyDescent="0.25">
      <c r="A299">
        <v>3393.6822499999998</v>
      </c>
      <c r="B299">
        <v>0.46421000000000001</v>
      </c>
      <c r="D299">
        <v>3393.6822499999998</v>
      </c>
      <c r="E299">
        <v>0.46260000000000001</v>
      </c>
    </row>
    <row r="300" spans="1:5" x14ac:dyDescent="0.25">
      <c r="A300">
        <v>3391.6415499999998</v>
      </c>
      <c r="B300">
        <v>0.46223999999999998</v>
      </c>
      <c r="D300">
        <v>3391.6415499999998</v>
      </c>
      <c r="E300">
        <v>0.46122000000000002</v>
      </c>
    </row>
    <row r="301" spans="1:5" x14ac:dyDescent="0.25">
      <c r="A301">
        <v>3389.6008499999998</v>
      </c>
      <c r="B301">
        <v>0.46032000000000001</v>
      </c>
      <c r="D301">
        <v>3389.6008499999998</v>
      </c>
      <c r="E301">
        <v>0.45994000000000002</v>
      </c>
    </row>
    <row r="302" spans="1:5" x14ac:dyDescent="0.25">
      <c r="A302">
        <v>3387.56016</v>
      </c>
      <c r="B302">
        <v>0.45845000000000002</v>
      </c>
      <c r="D302">
        <v>3387.56016</v>
      </c>
      <c r="E302">
        <v>0.45778000000000002</v>
      </c>
    </row>
    <row r="303" spans="1:5" x14ac:dyDescent="0.25">
      <c r="A303">
        <v>3385.51946</v>
      </c>
      <c r="B303">
        <v>0.45669999999999999</v>
      </c>
      <c r="D303">
        <v>3385.51946</v>
      </c>
      <c r="E303">
        <v>0.45527000000000001</v>
      </c>
    </row>
    <row r="304" spans="1:5" x14ac:dyDescent="0.25">
      <c r="A304">
        <v>3383.47876</v>
      </c>
      <c r="B304">
        <v>0.45506999999999997</v>
      </c>
      <c r="D304">
        <v>3383.47876</v>
      </c>
      <c r="E304">
        <v>0.45340000000000003</v>
      </c>
    </row>
    <row r="305" spans="1:5" x14ac:dyDescent="0.25">
      <c r="A305">
        <v>3381.43806</v>
      </c>
      <c r="B305">
        <v>0.45346999999999998</v>
      </c>
      <c r="D305">
        <v>3381.43806</v>
      </c>
      <c r="E305">
        <v>0.45221</v>
      </c>
    </row>
    <row r="306" spans="1:5" x14ac:dyDescent="0.25">
      <c r="A306">
        <v>3379.3973599999999</v>
      </c>
      <c r="B306">
        <v>0.45191999999999999</v>
      </c>
      <c r="D306">
        <v>3379.3973599999999</v>
      </c>
      <c r="E306">
        <v>0.45100000000000001</v>
      </c>
    </row>
    <row r="307" spans="1:5" x14ac:dyDescent="0.25">
      <c r="A307">
        <v>3377.3566599999999</v>
      </c>
      <c r="B307">
        <v>0.45043</v>
      </c>
      <c r="D307">
        <v>3377.3566599999999</v>
      </c>
      <c r="E307">
        <v>0.44954</v>
      </c>
    </row>
    <row r="308" spans="1:5" x14ac:dyDescent="0.25">
      <c r="A308">
        <v>3375.3159599999999</v>
      </c>
      <c r="B308">
        <v>0.44902999999999998</v>
      </c>
      <c r="D308">
        <v>3375.3159599999999</v>
      </c>
      <c r="E308">
        <v>0.44817000000000001</v>
      </c>
    </row>
    <row r="309" spans="1:5" x14ac:dyDescent="0.25">
      <c r="A309">
        <v>3373.2752599999999</v>
      </c>
      <c r="B309">
        <v>0.44774999999999998</v>
      </c>
      <c r="D309">
        <v>3373.2752599999999</v>
      </c>
      <c r="E309">
        <v>0.44708999999999999</v>
      </c>
    </row>
    <row r="310" spans="1:5" x14ac:dyDescent="0.25">
      <c r="A310">
        <v>3371.2345599999999</v>
      </c>
      <c r="B310">
        <v>0.44652999999999998</v>
      </c>
      <c r="D310">
        <v>3371.2345599999999</v>
      </c>
      <c r="E310">
        <v>0.44613000000000003</v>
      </c>
    </row>
    <row r="311" spans="1:5" x14ac:dyDescent="0.25">
      <c r="A311">
        <v>3369.1938700000001</v>
      </c>
      <c r="B311">
        <v>0.44528000000000001</v>
      </c>
      <c r="D311">
        <v>3369.1938700000001</v>
      </c>
      <c r="E311">
        <v>0.44502000000000003</v>
      </c>
    </row>
    <row r="312" spans="1:5" x14ac:dyDescent="0.25">
      <c r="A312">
        <v>3367.15317</v>
      </c>
      <c r="B312">
        <v>0.44401000000000002</v>
      </c>
      <c r="D312">
        <v>3367.15317</v>
      </c>
      <c r="E312">
        <v>0.44363999999999998</v>
      </c>
    </row>
    <row r="313" spans="1:5" x14ac:dyDescent="0.25">
      <c r="A313">
        <v>3365.11247</v>
      </c>
      <c r="B313">
        <v>0.44281999999999999</v>
      </c>
      <c r="D313">
        <v>3365.11247</v>
      </c>
      <c r="E313">
        <v>0.44231999999999999</v>
      </c>
    </row>
    <row r="314" spans="1:5" x14ac:dyDescent="0.25">
      <c r="A314">
        <v>3363.07177</v>
      </c>
      <c r="B314">
        <v>0.44177</v>
      </c>
      <c r="D314">
        <v>3363.07177</v>
      </c>
      <c r="E314">
        <v>0.44127</v>
      </c>
    </row>
    <row r="315" spans="1:5" x14ac:dyDescent="0.25">
      <c r="A315">
        <v>3361.03107</v>
      </c>
      <c r="B315">
        <v>0.44085999999999997</v>
      </c>
      <c r="D315">
        <v>3361.03107</v>
      </c>
      <c r="E315">
        <v>0.44030000000000002</v>
      </c>
    </row>
    <row r="316" spans="1:5" x14ac:dyDescent="0.25">
      <c r="A316">
        <v>3358.99037</v>
      </c>
      <c r="B316">
        <v>0.44002999999999998</v>
      </c>
      <c r="D316">
        <v>3358.99037</v>
      </c>
      <c r="E316">
        <v>0.43918000000000001</v>
      </c>
    </row>
    <row r="317" spans="1:5" x14ac:dyDescent="0.25">
      <c r="A317">
        <v>3356.94967</v>
      </c>
      <c r="B317">
        <v>0.43925999999999998</v>
      </c>
      <c r="D317">
        <v>3356.94967</v>
      </c>
      <c r="E317">
        <v>0.43801000000000001</v>
      </c>
    </row>
    <row r="318" spans="1:5" x14ac:dyDescent="0.25">
      <c r="A318">
        <v>3354.90897</v>
      </c>
      <c r="B318">
        <v>0.43856000000000001</v>
      </c>
      <c r="D318">
        <v>3354.90897</v>
      </c>
      <c r="E318">
        <v>0.43751000000000001</v>
      </c>
    </row>
    <row r="319" spans="1:5" x14ac:dyDescent="0.25">
      <c r="A319">
        <v>3352.8682699999999</v>
      </c>
      <c r="B319">
        <v>0.43797000000000003</v>
      </c>
      <c r="D319">
        <v>3352.8682699999999</v>
      </c>
      <c r="E319">
        <v>0.43765999999999999</v>
      </c>
    </row>
    <row r="320" spans="1:5" x14ac:dyDescent="0.25">
      <c r="A320">
        <v>3350.8275800000001</v>
      </c>
      <c r="B320">
        <v>0.43744</v>
      </c>
      <c r="D320">
        <v>3350.8275800000001</v>
      </c>
      <c r="E320">
        <v>0.43752999999999997</v>
      </c>
    </row>
    <row r="321" spans="1:5" x14ac:dyDescent="0.25">
      <c r="A321">
        <v>3348.7868800000001</v>
      </c>
      <c r="B321">
        <v>0.43691000000000002</v>
      </c>
      <c r="D321">
        <v>3348.7868800000001</v>
      </c>
      <c r="E321">
        <v>0.43672</v>
      </c>
    </row>
    <row r="322" spans="1:5" x14ac:dyDescent="0.25">
      <c r="A322">
        <v>3346.7461800000001</v>
      </c>
      <c r="B322">
        <v>0.43637999999999999</v>
      </c>
      <c r="D322">
        <v>3346.7461800000001</v>
      </c>
      <c r="E322">
        <v>0.43593999999999999</v>
      </c>
    </row>
    <row r="323" spans="1:5" x14ac:dyDescent="0.25">
      <c r="A323">
        <v>3344.7054800000001</v>
      </c>
      <c r="B323">
        <v>0.43590000000000001</v>
      </c>
      <c r="D323">
        <v>3344.7054800000001</v>
      </c>
      <c r="E323">
        <v>0.43570999999999999</v>
      </c>
    </row>
    <row r="324" spans="1:5" x14ac:dyDescent="0.25">
      <c r="A324">
        <v>3342.6647800000001</v>
      </c>
      <c r="B324">
        <v>0.4355</v>
      </c>
      <c r="D324">
        <v>3342.6647800000001</v>
      </c>
      <c r="E324">
        <v>0.43552000000000002</v>
      </c>
    </row>
    <row r="325" spans="1:5" x14ac:dyDescent="0.25">
      <c r="A325">
        <v>3340.62408</v>
      </c>
      <c r="B325">
        <v>0.43514000000000003</v>
      </c>
      <c r="D325">
        <v>3340.62408</v>
      </c>
      <c r="E325">
        <v>0.43503999999999998</v>
      </c>
    </row>
    <row r="326" spans="1:5" x14ac:dyDescent="0.25">
      <c r="A326">
        <v>3338.58338</v>
      </c>
      <c r="B326">
        <v>0.43475000000000003</v>
      </c>
      <c r="D326">
        <v>3338.58338</v>
      </c>
      <c r="E326">
        <v>0.43430000000000002</v>
      </c>
    </row>
    <row r="327" spans="1:5" x14ac:dyDescent="0.25">
      <c r="A327">
        <v>3336.54268</v>
      </c>
      <c r="B327">
        <v>0.43437999999999999</v>
      </c>
      <c r="D327">
        <v>3336.54268</v>
      </c>
      <c r="E327">
        <v>0.43343999999999999</v>
      </c>
    </row>
    <row r="328" spans="1:5" x14ac:dyDescent="0.25">
      <c r="A328">
        <v>3334.50198</v>
      </c>
      <c r="B328">
        <v>0.43409999999999999</v>
      </c>
      <c r="D328">
        <v>3334.50198</v>
      </c>
      <c r="E328">
        <v>0.43303999999999998</v>
      </c>
    </row>
    <row r="329" spans="1:5" x14ac:dyDescent="0.25">
      <c r="A329">
        <v>3332.4612900000002</v>
      </c>
      <c r="B329">
        <v>0.43390000000000001</v>
      </c>
      <c r="D329">
        <v>3332.4612900000002</v>
      </c>
      <c r="E329">
        <v>0.43318000000000001</v>
      </c>
    </row>
    <row r="330" spans="1:5" x14ac:dyDescent="0.25">
      <c r="A330">
        <v>3330.4205900000002</v>
      </c>
      <c r="B330">
        <v>0.43379000000000001</v>
      </c>
      <c r="D330">
        <v>3330.4205900000002</v>
      </c>
      <c r="E330">
        <v>0.43325000000000002</v>
      </c>
    </row>
    <row r="331" spans="1:5" x14ac:dyDescent="0.25">
      <c r="A331">
        <v>3328.3798900000002</v>
      </c>
      <c r="B331">
        <v>0.43373</v>
      </c>
      <c r="D331">
        <v>3328.3798900000002</v>
      </c>
      <c r="E331">
        <v>0.43308999999999997</v>
      </c>
    </row>
    <row r="332" spans="1:5" x14ac:dyDescent="0.25">
      <c r="A332">
        <v>3326.3391900000001</v>
      </c>
      <c r="B332">
        <v>0.43369999999999997</v>
      </c>
      <c r="D332">
        <v>3326.3391900000001</v>
      </c>
      <c r="E332">
        <v>0.43285000000000001</v>
      </c>
    </row>
    <row r="333" spans="1:5" x14ac:dyDescent="0.25">
      <c r="A333">
        <v>3324.2984900000001</v>
      </c>
      <c r="B333">
        <v>0.43368000000000001</v>
      </c>
      <c r="D333">
        <v>3324.2984900000001</v>
      </c>
      <c r="E333">
        <v>0.43262</v>
      </c>
    </row>
    <row r="334" spans="1:5" x14ac:dyDescent="0.25">
      <c r="A334">
        <v>3322.2577900000001</v>
      </c>
      <c r="B334">
        <v>0.43364000000000003</v>
      </c>
      <c r="D334">
        <v>3322.2577900000001</v>
      </c>
      <c r="E334">
        <v>0.43239</v>
      </c>
    </row>
    <row r="335" spans="1:5" x14ac:dyDescent="0.25">
      <c r="A335">
        <v>3320.2170900000001</v>
      </c>
      <c r="B335">
        <v>0.43353999999999998</v>
      </c>
      <c r="D335">
        <v>3320.2170900000001</v>
      </c>
      <c r="E335">
        <v>0.43214000000000002</v>
      </c>
    </row>
    <row r="336" spans="1:5" x14ac:dyDescent="0.25">
      <c r="A336">
        <v>3318.1763900000001</v>
      </c>
      <c r="B336">
        <v>0.43339</v>
      </c>
      <c r="D336">
        <v>3318.1763900000001</v>
      </c>
      <c r="E336">
        <v>0.43195</v>
      </c>
    </row>
    <row r="337" spans="1:5" x14ac:dyDescent="0.25">
      <c r="A337">
        <v>3316.1356900000001</v>
      </c>
      <c r="B337">
        <v>0.43321999999999999</v>
      </c>
      <c r="D337">
        <v>3316.1356900000001</v>
      </c>
      <c r="E337">
        <v>0.43198999999999999</v>
      </c>
    </row>
    <row r="338" spans="1:5" x14ac:dyDescent="0.25">
      <c r="A338">
        <v>3314.0949999999998</v>
      </c>
      <c r="B338">
        <v>0.43307000000000001</v>
      </c>
      <c r="D338">
        <v>3314.0949999999998</v>
      </c>
      <c r="E338">
        <v>0.43219999999999997</v>
      </c>
    </row>
    <row r="339" spans="1:5" x14ac:dyDescent="0.25">
      <c r="A339">
        <v>3312.0542999999998</v>
      </c>
      <c r="B339">
        <v>0.433</v>
      </c>
      <c r="D339">
        <v>3312.0542999999998</v>
      </c>
      <c r="E339">
        <v>0.43248999999999999</v>
      </c>
    </row>
    <row r="340" spans="1:5" x14ac:dyDescent="0.25">
      <c r="A340">
        <v>3310.0136000000002</v>
      </c>
      <c r="B340">
        <v>0.43301000000000001</v>
      </c>
      <c r="D340">
        <v>3310.0136000000002</v>
      </c>
      <c r="E340">
        <v>0.43270999999999998</v>
      </c>
    </row>
    <row r="341" spans="1:5" x14ac:dyDescent="0.25">
      <c r="A341">
        <v>3307.9729000000002</v>
      </c>
      <c r="B341">
        <v>0.43307000000000001</v>
      </c>
      <c r="D341">
        <v>3307.9729000000002</v>
      </c>
      <c r="E341">
        <v>0.43269000000000002</v>
      </c>
    </row>
    <row r="342" spans="1:5" x14ac:dyDescent="0.25">
      <c r="A342">
        <v>3305.9322000000002</v>
      </c>
      <c r="B342">
        <v>0.43310999999999999</v>
      </c>
      <c r="D342">
        <v>3305.9322000000002</v>
      </c>
      <c r="E342">
        <v>0.43231999999999998</v>
      </c>
    </row>
    <row r="343" spans="1:5" x14ac:dyDescent="0.25">
      <c r="A343">
        <v>3303.8915000000002</v>
      </c>
      <c r="B343">
        <v>0.43314999999999998</v>
      </c>
      <c r="D343">
        <v>3303.8915000000002</v>
      </c>
      <c r="E343">
        <v>0.43185000000000001</v>
      </c>
    </row>
    <row r="344" spans="1:5" x14ac:dyDescent="0.25">
      <c r="A344">
        <v>3301.8508000000002</v>
      </c>
      <c r="B344">
        <v>0.43319999999999997</v>
      </c>
      <c r="D344">
        <v>3301.8508000000002</v>
      </c>
      <c r="E344">
        <v>0.43179000000000001</v>
      </c>
    </row>
    <row r="345" spans="1:5" x14ac:dyDescent="0.25">
      <c r="A345">
        <v>3299.8101000000001</v>
      </c>
      <c r="B345">
        <v>0.43324000000000001</v>
      </c>
      <c r="D345">
        <v>3299.8101000000001</v>
      </c>
      <c r="E345">
        <v>0.43197999999999998</v>
      </c>
    </row>
    <row r="346" spans="1:5" x14ac:dyDescent="0.25">
      <c r="A346">
        <v>3297.7694000000001</v>
      </c>
      <c r="B346">
        <v>0.43326999999999999</v>
      </c>
      <c r="D346">
        <v>3297.7694000000001</v>
      </c>
      <c r="E346">
        <v>0.43206</v>
      </c>
    </row>
    <row r="347" spans="1:5" x14ac:dyDescent="0.25">
      <c r="A347">
        <v>3295.7287099999999</v>
      </c>
      <c r="B347">
        <v>0.43330000000000002</v>
      </c>
      <c r="D347">
        <v>3295.7287099999999</v>
      </c>
      <c r="E347">
        <v>0.43213000000000001</v>
      </c>
    </row>
    <row r="348" spans="1:5" x14ac:dyDescent="0.25">
      <c r="A348">
        <v>3293.6880099999998</v>
      </c>
      <c r="B348">
        <v>0.43331999999999998</v>
      </c>
      <c r="D348">
        <v>3293.6880099999998</v>
      </c>
      <c r="E348">
        <v>0.43219999999999997</v>
      </c>
    </row>
    <row r="349" spans="1:5" x14ac:dyDescent="0.25">
      <c r="A349">
        <v>3291.6473099999998</v>
      </c>
      <c r="B349">
        <v>0.43330999999999997</v>
      </c>
      <c r="D349">
        <v>3291.6473099999998</v>
      </c>
      <c r="E349">
        <v>0.43219999999999997</v>
      </c>
    </row>
    <row r="350" spans="1:5" x14ac:dyDescent="0.25">
      <c r="A350">
        <v>3289.6066099999998</v>
      </c>
      <c r="B350">
        <v>0.43326999999999999</v>
      </c>
      <c r="D350">
        <v>3289.6066099999998</v>
      </c>
      <c r="E350">
        <v>0.43234</v>
      </c>
    </row>
    <row r="351" spans="1:5" x14ac:dyDescent="0.25">
      <c r="A351">
        <v>3287.5659099999998</v>
      </c>
      <c r="B351">
        <v>0.43324000000000001</v>
      </c>
      <c r="D351">
        <v>3287.5659099999998</v>
      </c>
      <c r="E351">
        <v>0.43245</v>
      </c>
    </row>
    <row r="352" spans="1:5" x14ac:dyDescent="0.25">
      <c r="A352">
        <v>3285.5252099999998</v>
      </c>
      <c r="B352">
        <v>0.43323</v>
      </c>
      <c r="D352">
        <v>3285.5252099999998</v>
      </c>
      <c r="E352">
        <v>0.43218000000000001</v>
      </c>
    </row>
    <row r="353" spans="1:5" x14ac:dyDescent="0.25">
      <c r="A353">
        <v>3283.4845099999998</v>
      </c>
      <c r="B353">
        <v>0.43323</v>
      </c>
      <c r="D353">
        <v>3283.4845099999998</v>
      </c>
      <c r="E353">
        <v>0.43181999999999998</v>
      </c>
    </row>
    <row r="354" spans="1:5" x14ac:dyDescent="0.25">
      <c r="A354">
        <v>3281.4438100000002</v>
      </c>
      <c r="B354">
        <v>0.43323</v>
      </c>
      <c r="D354">
        <v>3281.4438100000002</v>
      </c>
      <c r="E354">
        <v>0.43165999999999999</v>
      </c>
    </row>
    <row r="355" spans="1:5" x14ac:dyDescent="0.25">
      <c r="A355">
        <v>3279.4031100000002</v>
      </c>
      <c r="B355">
        <v>0.43325999999999998</v>
      </c>
      <c r="D355">
        <v>3279.4031100000002</v>
      </c>
      <c r="E355">
        <v>0.43167</v>
      </c>
    </row>
    <row r="356" spans="1:5" x14ac:dyDescent="0.25">
      <c r="A356">
        <v>3277.3624199999999</v>
      </c>
      <c r="B356">
        <v>0.43331999999999998</v>
      </c>
      <c r="D356">
        <v>3277.3624199999999</v>
      </c>
      <c r="E356">
        <v>0.43175999999999998</v>
      </c>
    </row>
    <row r="357" spans="1:5" x14ac:dyDescent="0.25">
      <c r="A357">
        <v>3275.3217199999999</v>
      </c>
      <c r="B357">
        <v>0.43337999999999999</v>
      </c>
      <c r="D357">
        <v>3275.3217199999999</v>
      </c>
      <c r="E357">
        <v>0.43181999999999998</v>
      </c>
    </row>
    <row r="358" spans="1:5" x14ac:dyDescent="0.25">
      <c r="A358">
        <v>3273.2810199999999</v>
      </c>
      <c r="B358">
        <v>0.43345</v>
      </c>
      <c r="D358">
        <v>3273.2810199999999</v>
      </c>
      <c r="E358">
        <v>0.43204999999999999</v>
      </c>
    </row>
    <row r="359" spans="1:5" x14ac:dyDescent="0.25">
      <c r="A359">
        <v>3271.2403199999999</v>
      </c>
      <c r="B359">
        <v>0.43354999999999999</v>
      </c>
      <c r="D359">
        <v>3271.2403199999999</v>
      </c>
      <c r="E359">
        <v>0.43258999999999997</v>
      </c>
    </row>
    <row r="360" spans="1:5" x14ac:dyDescent="0.25">
      <c r="A360">
        <v>3269.1996199999999</v>
      </c>
      <c r="B360">
        <v>0.43364999999999998</v>
      </c>
      <c r="D360">
        <v>3269.1996199999999</v>
      </c>
      <c r="E360">
        <v>0.43303999999999998</v>
      </c>
    </row>
    <row r="361" spans="1:5" x14ac:dyDescent="0.25">
      <c r="A361">
        <v>3267.1589199999999</v>
      </c>
      <c r="B361">
        <v>0.43371999999999999</v>
      </c>
      <c r="D361">
        <v>3267.1589199999999</v>
      </c>
      <c r="E361">
        <v>0.43308999999999997</v>
      </c>
    </row>
    <row r="362" spans="1:5" x14ac:dyDescent="0.25">
      <c r="A362">
        <v>3265.1182199999998</v>
      </c>
      <c r="B362">
        <v>0.43380000000000002</v>
      </c>
      <c r="D362">
        <v>3265.1182199999998</v>
      </c>
      <c r="E362">
        <v>0.43282999999999999</v>
      </c>
    </row>
    <row r="363" spans="1:5" x14ac:dyDescent="0.25">
      <c r="A363">
        <v>3263.0775199999998</v>
      </c>
      <c r="B363">
        <v>0.43393999999999999</v>
      </c>
      <c r="D363">
        <v>3263.0775199999998</v>
      </c>
      <c r="E363">
        <v>0.43256</v>
      </c>
    </row>
    <row r="364" spans="1:5" x14ac:dyDescent="0.25">
      <c r="A364">
        <v>3261.0368199999998</v>
      </c>
      <c r="B364">
        <v>0.43412000000000001</v>
      </c>
      <c r="D364">
        <v>3261.0368199999998</v>
      </c>
      <c r="E364">
        <v>0.43258000000000002</v>
      </c>
    </row>
    <row r="365" spans="1:5" x14ac:dyDescent="0.25">
      <c r="A365">
        <v>3258.99613</v>
      </c>
      <c r="B365">
        <v>0.43430999999999997</v>
      </c>
      <c r="D365">
        <v>3258.99613</v>
      </c>
      <c r="E365">
        <v>0.43286000000000002</v>
      </c>
    </row>
    <row r="366" spans="1:5" x14ac:dyDescent="0.25">
      <c r="A366">
        <v>3256.95543</v>
      </c>
      <c r="B366">
        <v>0.43453999999999998</v>
      </c>
      <c r="D366">
        <v>3256.95543</v>
      </c>
      <c r="E366">
        <v>0.43326999999999999</v>
      </c>
    </row>
    <row r="367" spans="1:5" x14ac:dyDescent="0.25">
      <c r="A367">
        <v>3254.91473</v>
      </c>
      <c r="B367">
        <v>0.43481999999999998</v>
      </c>
      <c r="D367">
        <v>3254.91473</v>
      </c>
      <c r="E367">
        <v>0.43373</v>
      </c>
    </row>
    <row r="368" spans="1:5" x14ac:dyDescent="0.25">
      <c r="A368">
        <v>3252.8740299999999</v>
      </c>
      <c r="B368">
        <v>0.43514999999999998</v>
      </c>
      <c r="D368">
        <v>3252.8740299999999</v>
      </c>
      <c r="E368">
        <v>0.43442999999999998</v>
      </c>
    </row>
    <row r="369" spans="1:5" x14ac:dyDescent="0.25">
      <c r="A369">
        <v>3250.8333299999999</v>
      </c>
      <c r="B369">
        <v>0.43553999999999998</v>
      </c>
      <c r="D369">
        <v>3250.8333299999999</v>
      </c>
      <c r="E369">
        <v>0.43526999999999999</v>
      </c>
    </row>
    <row r="370" spans="1:5" x14ac:dyDescent="0.25">
      <c r="A370">
        <v>3248.7926299999999</v>
      </c>
      <c r="B370">
        <v>0.43602000000000002</v>
      </c>
      <c r="D370">
        <v>3248.7926299999999</v>
      </c>
      <c r="E370">
        <v>0.43585000000000002</v>
      </c>
    </row>
    <row r="371" spans="1:5" x14ac:dyDescent="0.25">
      <c r="A371">
        <v>3246.7519299999999</v>
      </c>
      <c r="B371">
        <v>0.43659999999999999</v>
      </c>
      <c r="D371">
        <v>3246.7519299999999</v>
      </c>
      <c r="E371">
        <v>0.43613000000000002</v>
      </c>
    </row>
    <row r="372" spans="1:5" x14ac:dyDescent="0.25">
      <c r="A372">
        <v>3244.7112299999999</v>
      </c>
      <c r="B372">
        <v>0.43723000000000001</v>
      </c>
      <c r="D372">
        <v>3244.7112299999999</v>
      </c>
      <c r="E372">
        <v>0.43641000000000002</v>
      </c>
    </row>
    <row r="373" spans="1:5" x14ac:dyDescent="0.25">
      <c r="A373">
        <v>3242.6705299999999</v>
      </c>
      <c r="B373">
        <v>0.43791000000000002</v>
      </c>
      <c r="D373">
        <v>3242.6705299999999</v>
      </c>
      <c r="E373">
        <v>0.43702000000000002</v>
      </c>
    </row>
    <row r="374" spans="1:5" x14ac:dyDescent="0.25">
      <c r="A374">
        <v>3240.6298400000001</v>
      </c>
      <c r="B374">
        <v>0.43869000000000002</v>
      </c>
      <c r="D374">
        <v>3240.6298400000001</v>
      </c>
      <c r="E374">
        <v>0.43781999999999999</v>
      </c>
    </row>
    <row r="375" spans="1:5" x14ac:dyDescent="0.25">
      <c r="A375">
        <v>3238.58914</v>
      </c>
      <c r="B375">
        <v>0.43956000000000001</v>
      </c>
      <c r="D375">
        <v>3238.58914</v>
      </c>
      <c r="E375">
        <v>0.43862000000000001</v>
      </c>
    </row>
    <row r="376" spans="1:5" x14ac:dyDescent="0.25">
      <c r="A376">
        <v>3236.54844</v>
      </c>
      <c r="B376">
        <v>0.44048999999999999</v>
      </c>
      <c r="D376">
        <v>3236.54844</v>
      </c>
      <c r="E376">
        <v>0.43963000000000002</v>
      </c>
    </row>
    <row r="377" spans="1:5" x14ac:dyDescent="0.25">
      <c r="A377">
        <v>3234.50774</v>
      </c>
      <c r="B377">
        <v>0.44151000000000001</v>
      </c>
      <c r="D377">
        <v>3234.50774</v>
      </c>
      <c r="E377">
        <v>0.44090000000000001</v>
      </c>
    </row>
    <row r="378" spans="1:5" x14ac:dyDescent="0.25">
      <c r="A378">
        <v>3232.46704</v>
      </c>
      <c r="B378">
        <v>0.44264999999999999</v>
      </c>
      <c r="D378">
        <v>3232.46704</v>
      </c>
      <c r="E378">
        <v>0.44201000000000001</v>
      </c>
    </row>
    <row r="379" spans="1:5" x14ac:dyDescent="0.25">
      <c r="A379">
        <v>3230.42634</v>
      </c>
      <c r="B379">
        <v>0.44388</v>
      </c>
      <c r="D379">
        <v>3230.42634</v>
      </c>
      <c r="E379">
        <v>0.44311</v>
      </c>
    </row>
    <row r="380" spans="1:5" x14ac:dyDescent="0.25">
      <c r="A380">
        <v>3228.38564</v>
      </c>
      <c r="B380">
        <v>0.44516</v>
      </c>
      <c r="D380">
        <v>3228.38564</v>
      </c>
      <c r="E380">
        <v>0.44435000000000002</v>
      </c>
    </row>
    <row r="381" spans="1:5" x14ac:dyDescent="0.25">
      <c r="A381">
        <v>3226.34494</v>
      </c>
      <c r="B381">
        <v>0.44649</v>
      </c>
      <c r="D381">
        <v>3226.34494</v>
      </c>
      <c r="E381">
        <v>0.44561000000000001</v>
      </c>
    </row>
    <row r="382" spans="1:5" x14ac:dyDescent="0.25">
      <c r="A382">
        <v>3224.3042399999999</v>
      </c>
      <c r="B382">
        <v>0.44786999999999999</v>
      </c>
      <c r="D382">
        <v>3224.3042399999999</v>
      </c>
      <c r="E382">
        <v>0.44697999999999999</v>
      </c>
    </row>
    <row r="383" spans="1:5" x14ac:dyDescent="0.25">
      <c r="A383">
        <v>3222.2635500000001</v>
      </c>
      <c r="B383">
        <v>0.44932</v>
      </c>
      <c r="D383">
        <v>3222.2635500000001</v>
      </c>
      <c r="E383">
        <v>0.44843</v>
      </c>
    </row>
    <row r="384" spans="1:5" x14ac:dyDescent="0.25">
      <c r="A384">
        <v>3220.2228500000001</v>
      </c>
      <c r="B384">
        <v>0.45089000000000001</v>
      </c>
      <c r="D384">
        <v>3220.2228500000001</v>
      </c>
      <c r="E384">
        <v>0.44990000000000002</v>
      </c>
    </row>
    <row r="385" spans="1:5" x14ac:dyDescent="0.25">
      <c r="A385">
        <v>3218.1821500000001</v>
      </c>
      <c r="B385">
        <v>0.45263999999999999</v>
      </c>
      <c r="D385">
        <v>3218.1821500000001</v>
      </c>
      <c r="E385">
        <v>0.45177</v>
      </c>
    </row>
    <row r="386" spans="1:5" x14ac:dyDescent="0.25">
      <c r="A386">
        <v>3216.1414500000001</v>
      </c>
      <c r="B386">
        <v>0.45454</v>
      </c>
      <c r="D386">
        <v>3216.1414500000001</v>
      </c>
      <c r="E386">
        <v>0.45391999999999999</v>
      </c>
    </row>
    <row r="387" spans="1:5" x14ac:dyDescent="0.25">
      <c r="A387">
        <v>3214.1007500000001</v>
      </c>
      <c r="B387">
        <v>0.45652999999999999</v>
      </c>
      <c r="D387">
        <v>3214.1007500000001</v>
      </c>
      <c r="E387">
        <v>0.45596999999999999</v>
      </c>
    </row>
    <row r="388" spans="1:5" x14ac:dyDescent="0.25">
      <c r="A388">
        <v>3212.06005</v>
      </c>
      <c r="B388">
        <v>0.45854</v>
      </c>
      <c r="D388">
        <v>3212.06005</v>
      </c>
      <c r="E388">
        <v>0.45796999999999999</v>
      </c>
    </row>
    <row r="389" spans="1:5" x14ac:dyDescent="0.25">
      <c r="A389">
        <v>3210.01935</v>
      </c>
      <c r="B389">
        <v>0.46062999999999998</v>
      </c>
      <c r="D389">
        <v>3210.01935</v>
      </c>
      <c r="E389">
        <v>0.45996999999999999</v>
      </c>
    </row>
    <row r="390" spans="1:5" x14ac:dyDescent="0.25">
      <c r="A390">
        <v>3207.97865</v>
      </c>
      <c r="B390">
        <v>0.46288000000000001</v>
      </c>
      <c r="D390">
        <v>3207.97865</v>
      </c>
      <c r="E390">
        <v>0.46233000000000002</v>
      </c>
    </row>
    <row r="391" spans="1:5" x14ac:dyDescent="0.25">
      <c r="A391">
        <v>3205.93795</v>
      </c>
      <c r="B391">
        <v>0.46528999999999998</v>
      </c>
      <c r="D391">
        <v>3205.93795</v>
      </c>
      <c r="E391">
        <v>0.46492</v>
      </c>
    </row>
    <row r="392" spans="1:5" x14ac:dyDescent="0.25">
      <c r="A392">
        <v>3203.8972600000002</v>
      </c>
      <c r="B392">
        <v>0.46786</v>
      </c>
      <c r="D392">
        <v>3203.8972600000002</v>
      </c>
      <c r="E392">
        <v>0.46732000000000001</v>
      </c>
    </row>
    <row r="393" spans="1:5" x14ac:dyDescent="0.25">
      <c r="A393">
        <v>3201.8565600000002</v>
      </c>
      <c r="B393">
        <v>0.47056999999999999</v>
      </c>
      <c r="D393">
        <v>3201.8565600000002</v>
      </c>
      <c r="E393">
        <v>0.46961000000000003</v>
      </c>
    </row>
    <row r="394" spans="1:5" x14ac:dyDescent="0.25">
      <c r="A394">
        <v>3199.8158600000002</v>
      </c>
      <c r="B394">
        <v>0.47341</v>
      </c>
      <c r="D394">
        <v>3199.8158600000002</v>
      </c>
      <c r="E394">
        <v>0.47184999999999999</v>
      </c>
    </row>
    <row r="395" spans="1:5" x14ac:dyDescent="0.25">
      <c r="A395">
        <v>3197.7751600000001</v>
      </c>
      <c r="B395">
        <v>0.47632999999999998</v>
      </c>
      <c r="D395">
        <v>3197.7751600000001</v>
      </c>
      <c r="E395">
        <v>0.47441</v>
      </c>
    </row>
    <row r="396" spans="1:5" x14ac:dyDescent="0.25">
      <c r="A396">
        <v>3195.7344600000001</v>
      </c>
      <c r="B396">
        <v>0.4793</v>
      </c>
      <c r="D396">
        <v>3195.7344600000001</v>
      </c>
      <c r="E396">
        <v>0.47771000000000002</v>
      </c>
    </row>
    <row r="397" spans="1:5" x14ac:dyDescent="0.25">
      <c r="A397">
        <v>3193.6937600000001</v>
      </c>
      <c r="B397">
        <v>0.48227999999999999</v>
      </c>
      <c r="D397">
        <v>3193.6937600000001</v>
      </c>
      <c r="E397">
        <v>0.48130000000000001</v>
      </c>
    </row>
    <row r="398" spans="1:5" x14ac:dyDescent="0.25">
      <c r="A398">
        <v>3191.6530600000001</v>
      </c>
      <c r="B398">
        <v>0.48529</v>
      </c>
      <c r="D398">
        <v>3191.6530600000001</v>
      </c>
      <c r="E398">
        <v>0.48476000000000002</v>
      </c>
    </row>
    <row r="399" spans="1:5" x14ac:dyDescent="0.25">
      <c r="A399">
        <v>3189.6123600000001</v>
      </c>
      <c r="B399">
        <v>0.48842999999999998</v>
      </c>
      <c r="D399">
        <v>3189.6123600000001</v>
      </c>
      <c r="E399">
        <v>0.48799999999999999</v>
      </c>
    </row>
    <row r="400" spans="1:5" x14ac:dyDescent="0.25">
      <c r="A400">
        <v>3187.5716600000001</v>
      </c>
      <c r="B400">
        <v>0.49171999999999999</v>
      </c>
      <c r="D400">
        <v>3187.5716600000001</v>
      </c>
      <c r="E400">
        <v>0.49108000000000002</v>
      </c>
    </row>
    <row r="401" spans="1:5" x14ac:dyDescent="0.25">
      <c r="A401">
        <v>3185.5309699999998</v>
      </c>
      <c r="B401">
        <v>0.49512</v>
      </c>
      <c r="D401">
        <v>3185.5309699999998</v>
      </c>
      <c r="E401">
        <v>0.49424000000000001</v>
      </c>
    </row>
    <row r="402" spans="1:5" x14ac:dyDescent="0.25">
      <c r="A402">
        <v>3183.4902699999998</v>
      </c>
      <c r="B402">
        <v>0.49858000000000002</v>
      </c>
      <c r="D402">
        <v>3183.4902699999998</v>
      </c>
      <c r="E402">
        <v>0.49768000000000001</v>
      </c>
    </row>
    <row r="403" spans="1:5" x14ac:dyDescent="0.25">
      <c r="A403">
        <v>3181.4495700000002</v>
      </c>
      <c r="B403">
        <v>0.50209000000000004</v>
      </c>
      <c r="D403">
        <v>3181.4495700000002</v>
      </c>
      <c r="E403">
        <v>0.50109000000000004</v>
      </c>
    </row>
    <row r="404" spans="1:5" x14ac:dyDescent="0.25">
      <c r="A404">
        <v>3179.4088700000002</v>
      </c>
      <c r="B404">
        <v>0.50571999999999995</v>
      </c>
      <c r="D404">
        <v>3179.4088700000002</v>
      </c>
      <c r="E404">
        <v>0.50444999999999995</v>
      </c>
    </row>
    <row r="405" spans="1:5" x14ac:dyDescent="0.25">
      <c r="A405">
        <v>3177.3681700000002</v>
      </c>
      <c r="B405">
        <v>0.50953000000000004</v>
      </c>
      <c r="D405">
        <v>3177.3681700000002</v>
      </c>
      <c r="E405">
        <v>0.50839000000000001</v>
      </c>
    </row>
    <row r="406" spans="1:5" x14ac:dyDescent="0.25">
      <c r="A406">
        <v>3175.3274700000002</v>
      </c>
      <c r="B406">
        <v>0.51354</v>
      </c>
      <c r="D406">
        <v>3175.3274700000002</v>
      </c>
      <c r="E406">
        <v>0.51283999999999996</v>
      </c>
    </row>
    <row r="407" spans="1:5" x14ac:dyDescent="0.25">
      <c r="A407">
        <v>3173.2867700000002</v>
      </c>
      <c r="B407">
        <v>0.51768999999999998</v>
      </c>
      <c r="D407">
        <v>3173.2867700000002</v>
      </c>
      <c r="E407">
        <v>0.51702000000000004</v>
      </c>
    </row>
    <row r="408" spans="1:5" x14ac:dyDescent="0.25">
      <c r="A408">
        <v>3171.2460700000001</v>
      </c>
      <c r="B408">
        <v>0.52193000000000001</v>
      </c>
      <c r="D408">
        <v>3171.2460700000001</v>
      </c>
      <c r="E408">
        <v>0.52090999999999998</v>
      </c>
    </row>
    <row r="409" spans="1:5" x14ac:dyDescent="0.25">
      <c r="A409">
        <v>3169.2053700000001</v>
      </c>
      <c r="B409">
        <v>0.52624000000000004</v>
      </c>
      <c r="D409">
        <v>3169.2053700000001</v>
      </c>
      <c r="E409">
        <v>0.52503999999999995</v>
      </c>
    </row>
    <row r="410" spans="1:5" x14ac:dyDescent="0.25">
      <c r="A410">
        <v>3167.1646799999999</v>
      </c>
      <c r="B410">
        <v>0.53063000000000005</v>
      </c>
      <c r="D410">
        <v>3167.1646799999999</v>
      </c>
      <c r="E410">
        <v>0.52961000000000003</v>
      </c>
    </row>
    <row r="411" spans="1:5" x14ac:dyDescent="0.25">
      <c r="A411">
        <v>3165.1239799999998</v>
      </c>
      <c r="B411">
        <v>0.53508</v>
      </c>
      <c r="D411">
        <v>3165.1239799999998</v>
      </c>
      <c r="E411">
        <v>0.53420000000000001</v>
      </c>
    </row>
    <row r="412" spans="1:5" x14ac:dyDescent="0.25">
      <c r="A412">
        <v>3163.0832799999998</v>
      </c>
      <c r="B412">
        <v>0.53956999999999999</v>
      </c>
      <c r="D412">
        <v>3163.0832799999998</v>
      </c>
      <c r="E412">
        <v>0.53866000000000003</v>
      </c>
    </row>
    <row r="413" spans="1:5" x14ac:dyDescent="0.25">
      <c r="A413">
        <v>3161.0425799999998</v>
      </c>
      <c r="B413">
        <v>0.54407000000000005</v>
      </c>
      <c r="D413">
        <v>3161.0425799999998</v>
      </c>
      <c r="E413">
        <v>0.54296</v>
      </c>
    </row>
    <row r="414" spans="1:5" x14ac:dyDescent="0.25">
      <c r="A414">
        <v>3159.0018799999998</v>
      </c>
      <c r="B414">
        <v>0.54859000000000002</v>
      </c>
      <c r="D414">
        <v>3159.0018799999998</v>
      </c>
      <c r="E414">
        <v>0.54693000000000003</v>
      </c>
    </row>
    <row r="415" spans="1:5" x14ac:dyDescent="0.25">
      <c r="A415">
        <v>3156.9611799999998</v>
      </c>
      <c r="B415">
        <v>0.55315000000000003</v>
      </c>
      <c r="D415">
        <v>3156.9611799999998</v>
      </c>
      <c r="E415">
        <v>0.55101999999999995</v>
      </c>
    </row>
    <row r="416" spans="1:5" x14ac:dyDescent="0.25">
      <c r="A416">
        <v>3154.9204800000002</v>
      </c>
      <c r="B416">
        <v>0.55774000000000001</v>
      </c>
      <c r="D416">
        <v>3154.9204800000002</v>
      </c>
      <c r="E416">
        <v>0.55589</v>
      </c>
    </row>
    <row r="417" spans="1:5" x14ac:dyDescent="0.25">
      <c r="A417">
        <v>3152.8797800000002</v>
      </c>
      <c r="B417">
        <v>0.56237000000000004</v>
      </c>
      <c r="D417">
        <v>3152.8797800000002</v>
      </c>
      <c r="E417">
        <v>0.56110000000000004</v>
      </c>
    </row>
    <row r="418" spans="1:5" x14ac:dyDescent="0.25">
      <c r="A418">
        <v>3150.8390800000002</v>
      </c>
      <c r="B418">
        <v>0.56703000000000003</v>
      </c>
      <c r="D418">
        <v>3150.8390800000002</v>
      </c>
      <c r="E418">
        <v>0.56596999999999997</v>
      </c>
    </row>
    <row r="419" spans="1:5" x14ac:dyDescent="0.25">
      <c r="A419">
        <v>3148.7983899999999</v>
      </c>
      <c r="B419">
        <v>0.57172999999999996</v>
      </c>
      <c r="D419">
        <v>3148.7983899999999</v>
      </c>
      <c r="E419">
        <v>0.57062000000000002</v>
      </c>
    </row>
    <row r="420" spans="1:5" x14ac:dyDescent="0.25">
      <c r="A420">
        <v>3146.7576899999999</v>
      </c>
      <c r="B420">
        <v>0.57648999999999995</v>
      </c>
      <c r="D420">
        <v>3146.7576899999999</v>
      </c>
      <c r="E420">
        <v>0.57523999999999997</v>
      </c>
    </row>
    <row r="421" spans="1:5" x14ac:dyDescent="0.25">
      <c r="A421">
        <v>3144.7169899999999</v>
      </c>
      <c r="B421">
        <v>0.58130999999999999</v>
      </c>
      <c r="D421">
        <v>3144.7169899999999</v>
      </c>
      <c r="E421">
        <v>0.57982999999999996</v>
      </c>
    </row>
    <row r="422" spans="1:5" x14ac:dyDescent="0.25">
      <c r="A422">
        <v>3142.6762899999999</v>
      </c>
      <c r="B422">
        <v>0.58614999999999995</v>
      </c>
      <c r="D422">
        <v>3142.6762899999999</v>
      </c>
      <c r="E422">
        <v>0.58436999999999995</v>
      </c>
    </row>
    <row r="423" spans="1:5" x14ac:dyDescent="0.25">
      <c r="A423">
        <v>3140.6355899999999</v>
      </c>
      <c r="B423">
        <v>0.59092999999999996</v>
      </c>
      <c r="D423">
        <v>3140.6355899999999</v>
      </c>
      <c r="E423">
        <v>0.58891000000000004</v>
      </c>
    </row>
    <row r="424" spans="1:5" x14ac:dyDescent="0.25">
      <c r="A424">
        <v>3138.5948899999999</v>
      </c>
      <c r="B424">
        <v>0.59560999999999997</v>
      </c>
      <c r="D424">
        <v>3138.5948899999999</v>
      </c>
      <c r="E424">
        <v>0.59362000000000004</v>
      </c>
    </row>
    <row r="425" spans="1:5" x14ac:dyDescent="0.25">
      <c r="A425">
        <v>3136.5541899999998</v>
      </c>
      <c r="B425">
        <v>0.60026000000000002</v>
      </c>
      <c r="D425">
        <v>3136.5541899999998</v>
      </c>
      <c r="E425">
        <v>0.59858</v>
      </c>
    </row>
    <row r="426" spans="1:5" x14ac:dyDescent="0.25">
      <c r="A426">
        <v>3134.5134899999998</v>
      </c>
      <c r="B426">
        <v>0.60492000000000001</v>
      </c>
      <c r="D426">
        <v>3134.5134899999998</v>
      </c>
      <c r="E426">
        <v>0.60357000000000005</v>
      </c>
    </row>
    <row r="427" spans="1:5" x14ac:dyDescent="0.25">
      <c r="A427">
        <v>3132.4727899999998</v>
      </c>
      <c r="B427">
        <v>0.60958000000000001</v>
      </c>
      <c r="D427">
        <v>3132.4727899999998</v>
      </c>
      <c r="E427">
        <v>0.60855000000000004</v>
      </c>
    </row>
    <row r="428" spans="1:5" x14ac:dyDescent="0.25">
      <c r="A428">
        <v>3130.4321</v>
      </c>
      <c r="B428">
        <v>0.61421000000000003</v>
      </c>
      <c r="D428">
        <v>3130.4321</v>
      </c>
      <c r="E428">
        <v>0.61348000000000003</v>
      </c>
    </row>
    <row r="429" spans="1:5" x14ac:dyDescent="0.25">
      <c r="A429">
        <v>3128.3914</v>
      </c>
      <c r="B429">
        <v>0.61882000000000004</v>
      </c>
      <c r="D429">
        <v>3128.3914</v>
      </c>
      <c r="E429">
        <v>0.61812999999999996</v>
      </c>
    </row>
    <row r="430" spans="1:5" x14ac:dyDescent="0.25">
      <c r="A430">
        <v>3126.3507</v>
      </c>
      <c r="B430">
        <v>0.62346999999999997</v>
      </c>
      <c r="D430">
        <v>3126.3507</v>
      </c>
      <c r="E430">
        <v>0.62266999999999995</v>
      </c>
    </row>
    <row r="431" spans="1:5" x14ac:dyDescent="0.25">
      <c r="A431">
        <v>3124.31</v>
      </c>
      <c r="B431">
        <v>0.62816000000000005</v>
      </c>
      <c r="D431">
        <v>3124.31</v>
      </c>
      <c r="E431">
        <v>0.62722</v>
      </c>
    </row>
    <row r="432" spans="1:5" x14ac:dyDescent="0.25">
      <c r="A432">
        <v>3122.2692999999999</v>
      </c>
      <c r="B432">
        <v>0.63290000000000002</v>
      </c>
      <c r="D432">
        <v>3122.2692999999999</v>
      </c>
      <c r="E432">
        <v>0.63188999999999995</v>
      </c>
    </row>
    <row r="433" spans="1:5" x14ac:dyDescent="0.25">
      <c r="A433">
        <v>3120.2285999999999</v>
      </c>
      <c r="B433">
        <v>0.63770000000000004</v>
      </c>
      <c r="D433">
        <v>3120.2285999999999</v>
      </c>
      <c r="E433">
        <v>0.63685999999999998</v>
      </c>
    </row>
    <row r="434" spans="1:5" x14ac:dyDescent="0.25">
      <c r="A434">
        <v>3118.1878999999999</v>
      </c>
      <c r="B434">
        <v>0.64254</v>
      </c>
      <c r="D434">
        <v>3118.1878999999999</v>
      </c>
      <c r="E434">
        <v>0.64161999999999997</v>
      </c>
    </row>
    <row r="435" spans="1:5" x14ac:dyDescent="0.25">
      <c r="A435">
        <v>3116.1471999999999</v>
      </c>
      <c r="B435">
        <v>0.64736000000000005</v>
      </c>
      <c r="D435">
        <v>3116.1471999999999</v>
      </c>
      <c r="E435">
        <v>0.64605999999999997</v>
      </c>
    </row>
    <row r="436" spans="1:5" x14ac:dyDescent="0.25">
      <c r="A436">
        <v>3114.1064999999999</v>
      </c>
      <c r="B436">
        <v>0.65217999999999998</v>
      </c>
      <c r="D436">
        <v>3114.1064999999999</v>
      </c>
      <c r="E436">
        <v>0.65075000000000005</v>
      </c>
    </row>
    <row r="437" spans="1:5" x14ac:dyDescent="0.25">
      <c r="A437">
        <v>3112.0658100000001</v>
      </c>
      <c r="B437">
        <v>0.65702000000000005</v>
      </c>
      <c r="D437">
        <v>3112.0658100000001</v>
      </c>
      <c r="E437">
        <v>0.65564</v>
      </c>
    </row>
    <row r="438" spans="1:5" x14ac:dyDescent="0.25">
      <c r="A438">
        <v>3110.02511</v>
      </c>
      <c r="B438">
        <v>0.66181000000000001</v>
      </c>
      <c r="D438">
        <v>3110.02511</v>
      </c>
      <c r="E438">
        <v>0.66039999999999999</v>
      </c>
    </row>
    <row r="439" spans="1:5" x14ac:dyDescent="0.25">
      <c r="A439">
        <v>3107.98441</v>
      </c>
      <c r="B439">
        <v>0.66652</v>
      </c>
      <c r="D439">
        <v>3107.98441</v>
      </c>
      <c r="E439">
        <v>0.66503999999999996</v>
      </c>
    </row>
    <row r="440" spans="1:5" x14ac:dyDescent="0.25">
      <c r="A440">
        <v>3105.94371</v>
      </c>
      <c r="B440">
        <v>0.67118999999999995</v>
      </c>
      <c r="D440">
        <v>3105.94371</v>
      </c>
      <c r="E440">
        <v>0.66956000000000004</v>
      </c>
    </row>
    <row r="441" spans="1:5" x14ac:dyDescent="0.25">
      <c r="A441">
        <v>3103.90301</v>
      </c>
      <c r="B441">
        <v>0.67583000000000004</v>
      </c>
      <c r="D441">
        <v>3103.90301</v>
      </c>
      <c r="E441">
        <v>0.67391999999999996</v>
      </c>
    </row>
    <row r="442" spans="1:5" x14ac:dyDescent="0.25">
      <c r="A442">
        <v>3101.86231</v>
      </c>
      <c r="B442">
        <v>0.68044000000000004</v>
      </c>
      <c r="D442">
        <v>3101.86231</v>
      </c>
      <c r="E442">
        <v>0.67837999999999998</v>
      </c>
    </row>
    <row r="443" spans="1:5" x14ac:dyDescent="0.25">
      <c r="A443">
        <v>3099.82161</v>
      </c>
      <c r="B443">
        <v>0.68501000000000001</v>
      </c>
      <c r="D443">
        <v>3099.82161</v>
      </c>
      <c r="E443">
        <v>0.68320000000000003</v>
      </c>
    </row>
    <row r="444" spans="1:5" x14ac:dyDescent="0.25">
      <c r="A444">
        <v>3097.7809099999999</v>
      </c>
      <c r="B444">
        <v>0.68954000000000004</v>
      </c>
      <c r="D444">
        <v>3097.7809099999999</v>
      </c>
      <c r="E444">
        <v>0.68789999999999996</v>
      </c>
    </row>
    <row r="445" spans="1:5" x14ac:dyDescent="0.25">
      <c r="A445">
        <v>3095.7402099999999</v>
      </c>
      <c r="B445">
        <v>0.69404999999999994</v>
      </c>
      <c r="D445">
        <v>3095.7402099999999</v>
      </c>
      <c r="E445">
        <v>0.69245999999999996</v>
      </c>
    </row>
    <row r="446" spans="1:5" x14ac:dyDescent="0.25">
      <c r="A446">
        <v>3093.6995200000001</v>
      </c>
      <c r="B446">
        <v>0.69852000000000003</v>
      </c>
      <c r="D446">
        <v>3093.6995200000001</v>
      </c>
      <c r="E446">
        <v>0.69742000000000004</v>
      </c>
    </row>
    <row r="447" spans="1:5" x14ac:dyDescent="0.25">
      <c r="A447">
        <v>3091.6588200000001</v>
      </c>
      <c r="B447">
        <v>0.70294000000000001</v>
      </c>
      <c r="D447">
        <v>3091.6588200000001</v>
      </c>
      <c r="E447">
        <v>0.70221999999999996</v>
      </c>
    </row>
    <row r="448" spans="1:5" x14ac:dyDescent="0.25">
      <c r="A448">
        <v>3089.6181200000001</v>
      </c>
      <c r="B448">
        <v>0.70733000000000001</v>
      </c>
      <c r="D448">
        <v>3089.6181200000001</v>
      </c>
      <c r="E448">
        <v>0.70659000000000005</v>
      </c>
    </row>
    <row r="449" spans="1:5" x14ac:dyDescent="0.25">
      <c r="A449">
        <v>3087.5774200000001</v>
      </c>
      <c r="B449">
        <v>0.71174000000000004</v>
      </c>
      <c r="D449">
        <v>3087.5774200000001</v>
      </c>
      <c r="E449">
        <v>0.71092999999999995</v>
      </c>
    </row>
    <row r="450" spans="1:5" x14ac:dyDescent="0.25">
      <c r="A450">
        <v>3085.5367200000001</v>
      </c>
      <c r="B450">
        <v>0.71616999999999997</v>
      </c>
      <c r="D450">
        <v>3085.5367200000001</v>
      </c>
      <c r="E450">
        <v>0.71531</v>
      </c>
    </row>
    <row r="451" spans="1:5" x14ac:dyDescent="0.25">
      <c r="A451">
        <v>3083.49602</v>
      </c>
      <c r="B451">
        <v>0.72055999999999998</v>
      </c>
      <c r="D451">
        <v>3083.49602</v>
      </c>
      <c r="E451">
        <v>0.71947000000000005</v>
      </c>
    </row>
    <row r="452" spans="1:5" x14ac:dyDescent="0.25">
      <c r="A452">
        <v>3081.45532</v>
      </c>
      <c r="B452">
        <v>0.72487000000000001</v>
      </c>
      <c r="D452">
        <v>3081.45532</v>
      </c>
      <c r="E452">
        <v>0.72331000000000001</v>
      </c>
    </row>
    <row r="453" spans="1:5" x14ac:dyDescent="0.25">
      <c r="A453">
        <v>3079.41462</v>
      </c>
      <c r="B453">
        <v>0.72907</v>
      </c>
      <c r="D453">
        <v>3079.41462</v>
      </c>
      <c r="E453">
        <v>0.72714999999999996</v>
      </c>
    </row>
    <row r="454" spans="1:5" x14ac:dyDescent="0.25">
      <c r="A454">
        <v>3077.37392</v>
      </c>
      <c r="B454">
        <v>0.73312999999999995</v>
      </c>
      <c r="D454">
        <v>3077.37392</v>
      </c>
      <c r="E454">
        <v>0.73138999999999998</v>
      </c>
    </row>
    <row r="455" spans="1:5" x14ac:dyDescent="0.25">
      <c r="A455">
        <v>3075.3332300000002</v>
      </c>
      <c r="B455">
        <v>0.73716999999999999</v>
      </c>
      <c r="D455">
        <v>3075.3332300000002</v>
      </c>
      <c r="E455">
        <v>0.73611000000000004</v>
      </c>
    </row>
    <row r="456" spans="1:5" x14ac:dyDescent="0.25">
      <c r="A456">
        <v>3073.2925300000002</v>
      </c>
      <c r="B456">
        <v>0.74121000000000004</v>
      </c>
      <c r="D456">
        <v>3073.2925300000002</v>
      </c>
      <c r="E456">
        <v>0.74084000000000005</v>
      </c>
    </row>
    <row r="457" spans="1:5" x14ac:dyDescent="0.25">
      <c r="A457">
        <v>3071.2518300000002</v>
      </c>
      <c r="B457">
        <v>0.74519999999999997</v>
      </c>
      <c r="D457">
        <v>3071.2518300000002</v>
      </c>
      <c r="E457">
        <v>0.74499000000000004</v>
      </c>
    </row>
    <row r="458" spans="1:5" x14ac:dyDescent="0.25">
      <c r="A458">
        <v>3069.2111300000001</v>
      </c>
      <c r="B458">
        <v>0.74914999999999998</v>
      </c>
      <c r="D458">
        <v>3069.2111300000001</v>
      </c>
      <c r="E458">
        <v>0.74843999999999999</v>
      </c>
    </row>
    <row r="459" spans="1:5" x14ac:dyDescent="0.25">
      <c r="A459">
        <v>3067.1704300000001</v>
      </c>
      <c r="B459">
        <v>0.75307999999999997</v>
      </c>
      <c r="D459">
        <v>3067.1704300000001</v>
      </c>
      <c r="E459">
        <v>0.75158999999999998</v>
      </c>
    </row>
    <row r="460" spans="1:5" x14ac:dyDescent="0.25">
      <c r="A460">
        <v>3065.1297300000001</v>
      </c>
      <c r="B460">
        <v>0.75695000000000001</v>
      </c>
      <c r="D460">
        <v>3065.1297300000001</v>
      </c>
      <c r="E460">
        <v>0.75505</v>
      </c>
    </row>
    <row r="461" spans="1:5" x14ac:dyDescent="0.25">
      <c r="A461">
        <v>3063.0890300000001</v>
      </c>
      <c r="B461">
        <v>0.76071999999999995</v>
      </c>
      <c r="D461">
        <v>3063.0890300000001</v>
      </c>
      <c r="E461">
        <v>0.75910999999999995</v>
      </c>
    </row>
    <row r="462" spans="1:5" x14ac:dyDescent="0.25">
      <c r="A462">
        <v>3061.0483300000001</v>
      </c>
      <c r="B462">
        <v>0.76439999999999997</v>
      </c>
      <c r="D462">
        <v>3061.0483300000001</v>
      </c>
      <c r="E462">
        <v>0.76344999999999996</v>
      </c>
    </row>
    <row r="463" spans="1:5" x14ac:dyDescent="0.25">
      <c r="A463">
        <v>3059.0076300000001</v>
      </c>
      <c r="B463">
        <v>0.76805000000000001</v>
      </c>
      <c r="D463">
        <v>3059.0076300000001</v>
      </c>
      <c r="E463">
        <v>0.76737</v>
      </c>
    </row>
    <row r="464" spans="1:5" x14ac:dyDescent="0.25">
      <c r="A464">
        <v>3056.9669399999998</v>
      </c>
      <c r="B464">
        <v>0.77173000000000003</v>
      </c>
      <c r="D464">
        <v>3056.9669399999998</v>
      </c>
      <c r="E464">
        <v>0.77075000000000005</v>
      </c>
    </row>
    <row r="465" spans="1:5" x14ac:dyDescent="0.25">
      <c r="A465">
        <v>3054.9262399999998</v>
      </c>
      <c r="B465">
        <v>0.77542999999999995</v>
      </c>
      <c r="D465">
        <v>3054.9262399999998</v>
      </c>
      <c r="E465">
        <v>0.77439999999999998</v>
      </c>
    </row>
    <row r="466" spans="1:5" x14ac:dyDescent="0.25">
      <c r="A466">
        <v>3052.8855400000002</v>
      </c>
      <c r="B466">
        <v>0.77915000000000001</v>
      </c>
      <c r="D466">
        <v>3052.8855400000002</v>
      </c>
      <c r="E466">
        <v>0.77822999999999998</v>
      </c>
    </row>
    <row r="467" spans="1:5" x14ac:dyDescent="0.25">
      <c r="A467">
        <v>3050.8448400000002</v>
      </c>
      <c r="B467">
        <v>0.78286999999999995</v>
      </c>
      <c r="D467">
        <v>3050.8448400000002</v>
      </c>
      <c r="E467">
        <v>0.78163000000000005</v>
      </c>
    </row>
    <row r="468" spans="1:5" x14ac:dyDescent="0.25">
      <c r="A468">
        <v>3048.8041400000002</v>
      </c>
      <c r="B468">
        <v>0.78649000000000002</v>
      </c>
      <c r="D468">
        <v>3048.8041400000002</v>
      </c>
      <c r="E468">
        <v>0.78495999999999999</v>
      </c>
    </row>
    <row r="469" spans="1:5" x14ac:dyDescent="0.25">
      <c r="A469">
        <v>3046.7634400000002</v>
      </c>
      <c r="B469">
        <v>0.78993000000000002</v>
      </c>
      <c r="D469">
        <v>3046.7634400000002</v>
      </c>
      <c r="E469">
        <v>0.78863000000000005</v>
      </c>
    </row>
    <row r="470" spans="1:5" x14ac:dyDescent="0.25">
      <c r="A470">
        <v>3044.7227400000002</v>
      </c>
      <c r="B470">
        <v>0.79320999999999997</v>
      </c>
      <c r="D470">
        <v>3044.7227400000002</v>
      </c>
      <c r="E470">
        <v>0.79222000000000004</v>
      </c>
    </row>
    <row r="471" spans="1:5" x14ac:dyDescent="0.25">
      <c r="A471">
        <v>3042.6820400000001</v>
      </c>
      <c r="B471">
        <v>0.79644999999999999</v>
      </c>
      <c r="D471">
        <v>3042.6820400000001</v>
      </c>
      <c r="E471">
        <v>0.79552</v>
      </c>
    </row>
    <row r="472" spans="1:5" x14ac:dyDescent="0.25">
      <c r="A472">
        <v>3040.6413400000001</v>
      </c>
      <c r="B472">
        <v>0.79964999999999997</v>
      </c>
      <c r="D472">
        <v>3040.6413400000001</v>
      </c>
      <c r="E472">
        <v>0.79881000000000002</v>
      </c>
    </row>
    <row r="473" spans="1:5" x14ac:dyDescent="0.25">
      <c r="A473">
        <v>3038.6006499999999</v>
      </c>
      <c r="B473">
        <v>0.80281999999999998</v>
      </c>
      <c r="D473">
        <v>3038.6006499999999</v>
      </c>
      <c r="E473">
        <v>0.80225999999999997</v>
      </c>
    </row>
    <row r="474" spans="1:5" x14ac:dyDescent="0.25">
      <c r="A474">
        <v>3036.5599499999998</v>
      </c>
      <c r="B474">
        <v>0.80598999999999998</v>
      </c>
      <c r="D474">
        <v>3036.5599499999998</v>
      </c>
      <c r="E474">
        <v>0.80535000000000001</v>
      </c>
    </row>
    <row r="475" spans="1:5" x14ac:dyDescent="0.25">
      <c r="A475">
        <v>3034.5192499999998</v>
      </c>
      <c r="B475">
        <v>0.80915000000000004</v>
      </c>
      <c r="D475">
        <v>3034.5192499999998</v>
      </c>
      <c r="E475">
        <v>0.80769999999999997</v>
      </c>
    </row>
    <row r="476" spans="1:5" x14ac:dyDescent="0.25">
      <c r="A476">
        <v>3032.4785499999998</v>
      </c>
      <c r="B476">
        <v>0.81227000000000005</v>
      </c>
      <c r="D476">
        <v>3032.4785499999998</v>
      </c>
      <c r="E476">
        <v>0.80998999999999999</v>
      </c>
    </row>
    <row r="477" spans="1:5" x14ac:dyDescent="0.25">
      <c r="A477">
        <v>3030.4378499999998</v>
      </c>
      <c r="B477">
        <v>0.81530000000000002</v>
      </c>
      <c r="D477">
        <v>3030.4378499999998</v>
      </c>
      <c r="E477">
        <v>0.81325000000000003</v>
      </c>
    </row>
    <row r="478" spans="1:5" x14ac:dyDescent="0.25">
      <c r="A478">
        <v>3028.3971499999998</v>
      </c>
      <c r="B478">
        <v>0.81823000000000001</v>
      </c>
      <c r="D478">
        <v>3028.3971499999998</v>
      </c>
      <c r="E478">
        <v>0.81730999999999998</v>
      </c>
    </row>
    <row r="479" spans="1:5" x14ac:dyDescent="0.25">
      <c r="A479">
        <v>3026.3564500000002</v>
      </c>
      <c r="B479">
        <v>0.82103999999999999</v>
      </c>
      <c r="D479">
        <v>3026.3564500000002</v>
      </c>
      <c r="E479">
        <v>0.82094</v>
      </c>
    </row>
    <row r="480" spans="1:5" x14ac:dyDescent="0.25">
      <c r="A480">
        <v>3024.3157500000002</v>
      </c>
      <c r="B480">
        <v>0.82372999999999996</v>
      </c>
      <c r="D480">
        <v>3024.3157500000002</v>
      </c>
      <c r="E480">
        <v>0.82384999999999997</v>
      </c>
    </row>
    <row r="481" spans="1:5" x14ac:dyDescent="0.25">
      <c r="A481">
        <v>3022.2750500000002</v>
      </c>
      <c r="B481">
        <v>0.82638999999999996</v>
      </c>
      <c r="D481">
        <v>3022.2750500000002</v>
      </c>
      <c r="E481">
        <v>0.82635999999999998</v>
      </c>
    </row>
    <row r="482" spans="1:5" x14ac:dyDescent="0.25">
      <c r="A482">
        <v>3020.2343599999999</v>
      </c>
      <c r="B482">
        <v>0.82904999999999995</v>
      </c>
      <c r="D482">
        <v>3020.2343599999999</v>
      </c>
      <c r="E482">
        <v>0.82865</v>
      </c>
    </row>
    <row r="483" spans="1:5" x14ac:dyDescent="0.25">
      <c r="A483">
        <v>3018.1936599999999</v>
      </c>
      <c r="B483">
        <v>0.83169999999999999</v>
      </c>
      <c r="D483">
        <v>3018.1936599999999</v>
      </c>
      <c r="E483">
        <v>0.83074999999999999</v>
      </c>
    </row>
    <row r="484" spans="1:5" x14ac:dyDescent="0.25">
      <c r="A484">
        <v>3016.1529599999999</v>
      </c>
      <c r="B484">
        <v>0.83416000000000001</v>
      </c>
      <c r="D484">
        <v>3016.1529599999999</v>
      </c>
      <c r="E484">
        <v>0.83264000000000005</v>
      </c>
    </row>
    <row r="485" spans="1:5" x14ac:dyDescent="0.25">
      <c r="A485">
        <v>3014.1122599999999</v>
      </c>
      <c r="B485">
        <v>0.83650999999999998</v>
      </c>
      <c r="D485">
        <v>3014.1122599999999</v>
      </c>
      <c r="E485">
        <v>0.83475999999999995</v>
      </c>
    </row>
    <row r="486" spans="1:5" x14ac:dyDescent="0.25">
      <c r="A486">
        <v>3012.0715599999999</v>
      </c>
      <c r="B486">
        <v>0.83884000000000003</v>
      </c>
      <c r="D486">
        <v>3012.0715599999999</v>
      </c>
      <c r="E486">
        <v>0.83750000000000002</v>
      </c>
    </row>
    <row r="487" spans="1:5" x14ac:dyDescent="0.25">
      <c r="A487">
        <v>3010.0308599999998</v>
      </c>
      <c r="B487">
        <v>0.84116999999999997</v>
      </c>
      <c r="D487">
        <v>3010.0308599999998</v>
      </c>
      <c r="E487">
        <v>0.84069000000000005</v>
      </c>
    </row>
    <row r="488" spans="1:5" x14ac:dyDescent="0.25">
      <c r="A488">
        <v>3007.9901599999998</v>
      </c>
      <c r="B488">
        <v>0.84348000000000001</v>
      </c>
      <c r="D488">
        <v>3007.9901599999998</v>
      </c>
      <c r="E488">
        <v>0.84367999999999999</v>
      </c>
    </row>
    <row r="489" spans="1:5" x14ac:dyDescent="0.25">
      <c r="A489">
        <v>3005.9494599999998</v>
      </c>
      <c r="B489">
        <v>0.84575999999999996</v>
      </c>
      <c r="D489">
        <v>3005.9494599999998</v>
      </c>
      <c r="E489">
        <v>0.84609999999999996</v>
      </c>
    </row>
    <row r="490" spans="1:5" x14ac:dyDescent="0.25">
      <c r="A490">
        <v>3003.9087599999998</v>
      </c>
      <c r="B490">
        <v>0.84801000000000004</v>
      </c>
      <c r="D490">
        <v>3003.9087599999998</v>
      </c>
      <c r="E490">
        <v>0.84826999999999997</v>
      </c>
    </row>
    <row r="491" spans="1:5" x14ac:dyDescent="0.25">
      <c r="A491">
        <v>3001.86807</v>
      </c>
      <c r="B491">
        <v>0.85019</v>
      </c>
      <c r="D491">
        <v>3001.86807</v>
      </c>
      <c r="E491">
        <v>0.85021000000000002</v>
      </c>
    </row>
    <row r="492" spans="1:5" x14ac:dyDescent="0.25">
      <c r="A492">
        <v>2999.82737</v>
      </c>
      <c r="B492">
        <v>0.85226999999999997</v>
      </c>
      <c r="D492">
        <v>2999.82737</v>
      </c>
      <c r="E492">
        <v>0.85306999999999999</v>
      </c>
    </row>
    <row r="493" spans="1:5" x14ac:dyDescent="0.25">
      <c r="A493">
        <v>2997.78667</v>
      </c>
      <c r="B493">
        <v>0.85419999999999996</v>
      </c>
      <c r="D493">
        <v>2997.78667</v>
      </c>
      <c r="E493">
        <v>0.85492000000000001</v>
      </c>
    </row>
    <row r="494" spans="1:5" x14ac:dyDescent="0.25">
      <c r="A494">
        <v>2995.7459699999999</v>
      </c>
      <c r="B494">
        <v>0.85599999999999998</v>
      </c>
      <c r="D494">
        <v>2995.7459699999999</v>
      </c>
      <c r="E494">
        <v>0.85665000000000002</v>
      </c>
    </row>
    <row r="495" spans="1:5" x14ac:dyDescent="0.25">
      <c r="A495">
        <v>2993.7052699999999</v>
      </c>
      <c r="B495">
        <v>0.85767000000000004</v>
      </c>
      <c r="D495">
        <v>2993.7052699999999</v>
      </c>
      <c r="E495">
        <v>0.85841999999999996</v>
      </c>
    </row>
    <row r="496" spans="1:5" x14ac:dyDescent="0.25">
      <c r="A496">
        <v>2991.6645699999999</v>
      </c>
      <c r="B496">
        <v>0.85926000000000002</v>
      </c>
      <c r="D496">
        <v>2991.6645699999999</v>
      </c>
      <c r="E496">
        <v>0.86036000000000001</v>
      </c>
    </row>
    <row r="497" spans="1:5" x14ac:dyDescent="0.25">
      <c r="A497">
        <v>2989.6238699999999</v>
      </c>
      <c r="B497">
        <v>0.86087000000000002</v>
      </c>
      <c r="D497">
        <v>2989.6238699999999</v>
      </c>
      <c r="E497">
        <v>0.86243999999999998</v>
      </c>
    </row>
    <row r="498" spans="1:5" x14ac:dyDescent="0.25">
      <c r="A498">
        <v>2987.5831699999999</v>
      </c>
      <c r="B498">
        <v>0.86248999999999998</v>
      </c>
      <c r="D498">
        <v>2987.5831699999999</v>
      </c>
      <c r="E498">
        <v>0.86453000000000002</v>
      </c>
    </row>
    <row r="499" spans="1:5" x14ac:dyDescent="0.25">
      <c r="A499">
        <v>2985.5424699999999</v>
      </c>
      <c r="B499">
        <v>0.86412999999999995</v>
      </c>
      <c r="D499">
        <v>2985.5424699999999</v>
      </c>
      <c r="E499">
        <v>0.86665000000000003</v>
      </c>
    </row>
    <row r="500" spans="1:5" x14ac:dyDescent="0.25">
      <c r="A500">
        <v>2983.5017800000001</v>
      </c>
      <c r="B500">
        <v>0.86580999999999997</v>
      </c>
      <c r="D500">
        <v>2983.5017800000001</v>
      </c>
      <c r="E500">
        <v>0.86880999999999997</v>
      </c>
    </row>
    <row r="501" spans="1:5" x14ac:dyDescent="0.25">
      <c r="A501">
        <v>2981.46108</v>
      </c>
      <c r="B501">
        <v>0.86768000000000001</v>
      </c>
      <c r="D501">
        <v>2981.46108</v>
      </c>
      <c r="E501">
        <v>0.87077000000000004</v>
      </c>
    </row>
    <row r="502" spans="1:5" x14ac:dyDescent="0.25">
      <c r="A502">
        <v>2979.42038</v>
      </c>
      <c r="B502">
        <v>0.86968999999999996</v>
      </c>
      <c r="D502">
        <v>2979.42038</v>
      </c>
      <c r="E502">
        <v>0.87246000000000001</v>
      </c>
    </row>
    <row r="503" spans="1:5" x14ac:dyDescent="0.25">
      <c r="A503">
        <v>2977.37968</v>
      </c>
      <c r="B503">
        <v>0.87175000000000002</v>
      </c>
      <c r="D503">
        <v>2977.37968</v>
      </c>
      <c r="E503">
        <v>0.87397999999999998</v>
      </c>
    </row>
    <row r="504" spans="1:5" x14ac:dyDescent="0.25">
      <c r="A504">
        <v>2975.33898</v>
      </c>
      <c r="B504">
        <v>0.87382000000000004</v>
      </c>
      <c r="D504">
        <v>2975.33898</v>
      </c>
      <c r="E504">
        <v>0.87561999999999995</v>
      </c>
    </row>
    <row r="505" spans="1:5" x14ac:dyDescent="0.25">
      <c r="A505">
        <v>2973.29828</v>
      </c>
      <c r="B505">
        <v>0.87592000000000003</v>
      </c>
      <c r="D505">
        <v>2973.29828</v>
      </c>
      <c r="E505">
        <v>0.87766</v>
      </c>
    </row>
    <row r="506" spans="1:5" x14ac:dyDescent="0.25">
      <c r="A506">
        <v>2971.25758</v>
      </c>
      <c r="B506">
        <v>0.87804000000000004</v>
      </c>
      <c r="D506">
        <v>2971.25758</v>
      </c>
      <c r="E506">
        <v>0.87988999999999995</v>
      </c>
    </row>
    <row r="507" spans="1:5" x14ac:dyDescent="0.25">
      <c r="A507">
        <v>2969.2168799999999</v>
      </c>
      <c r="B507">
        <v>0.88012999999999997</v>
      </c>
      <c r="D507">
        <v>2969.2168799999999</v>
      </c>
      <c r="E507">
        <v>0.88185999999999998</v>
      </c>
    </row>
    <row r="508" spans="1:5" x14ac:dyDescent="0.25">
      <c r="A508">
        <v>2967.1761799999999</v>
      </c>
      <c r="B508">
        <v>0.88216000000000006</v>
      </c>
      <c r="D508">
        <v>2967.1761799999999</v>
      </c>
      <c r="E508">
        <v>0.88354999999999995</v>
      </c>
    </row>
    <row r="509" spans="1:5" x14ac:dyDescent="0.25">
      <c r="A509">
        <v>2965.1354900000001</v>
      </c>
      <c r="B509">
        <v>0.88412999999999997</v>
      </c>
      <c r="D509">
        <v>2965.1354900000001</v>
      </c>
      <c r="E509">
        <v>0.88514000000000004</v>
      </c>
    </row>
    <row r="510" spans="1:5" x14ac:dyDescent="0.25">
      <c r="A510">
        <v>2963.0947900000001</v>
      </c>
      <c r="B510">
        <v>0.88600000000000001</v>
      </c>
      <c r="D510">
        <v>2963.0947900000001</v>
      </c>
      <c r="E510">
        <v>0.88654999999999995</v>
      </c>
    </row>
    <row r="511" spans="1:5" x14ac:dyDescent="0.25">
      <c r="A511">
        <v>2961.0540900000001</v>
      </c>
      <c r="B511">
        <v>0.88775999999999999</v>
      </c>
      <c r="D511">
        <v>2961.0540900000001</v>
      </c>
      <c r="E511">
        <v>0.88812999999999998</v>
      </c>
    </row>
    <row r="512" spans="1:5" x14ac:dyDescent="0.25">
      <c r="A512">
        <v>2959.0133900000001</v>
      </c>
      <c r="B512">
        <v>0.88943000000000005</v>
      </c>
      <c r="D512">
        <v>2959.0133900000001</v>
      </c>
      <c r="E512">
        <v>0.89007999999999998</v>
      </c>
    </row>
    <row r="513" spans="1:5" x14ac:dyDescent="0.25">
      <c r="A513">
        <v>2956.9726900000001</v>
      </c>
      <c r="B513">
        <v>0.89102999999999999</v>
      </c>
      <c r="D513">
        <v>2956.9726900000001</v>
      </c>
      <c r="E513">
        <v>0.89173999999999998</v>
      </c>
    </row>
    <row r="514" spans="1:5" x14ac:dyDescent="0.25">
      <c r="A514">
        <v>2954.93199</v>
      </c>
      <c r="B514">
        <v>0.89258000000000004</v>
      </c>
      <c r="D514">
        <v>2954.93199</v>
      </c>
      <c r="E514">
        <v>0.89290999999999998</v>
      </c>
    </row>
    <row r="515" spans="1:5" x14ac:dyDescent="0.25">
      <c r="A515">
        <v>2952.89129</v>
      </c>
      <c r="B515">
        <v>0.89410000000000001</v>
      </c>
      <c r="D515">
        <v>2952.89129</v>
      </c>
      <c r="E515">
        <v>0.89405999999999997</v>
      </c>
    </row>
    <row r="516" spans="1:5" x14ac:dyDescent="0.25">
      <c r="A516">
        <v>2950.85059</v>
      </c>
      <c r="B516">
        <v>0.89558000000000004</v>
      </c>
      <c r="D516">
        <v>2950.85059</v>
      </c>
      <c r="E516">
        <v>0.89558000000000004</v>
      </c>
    </row>
    <row r="517" spans="1:5" x14ac:dyDescent="0.25">
      <c r="A517">
        <v>2948.80989</v>
      </c>
      <c r="B517">
        <v>0.89702999999999999</v>
      </c>
      <c r="D517">
        <v>2948.80989</v>
      </c>
      <c r="E517">
        <v>0.89742</v>
      </c>
    </row>
    <row r="518" spans="1:5" x14ac:dyDescent="0.25">
      <c r="A518">
        <v>2946.7692000000002</v>
      </c>
      <c r="B518">
        <v>0.89844999999999997</v>
      </c>
      <c r="D518">
        <v>2946.7692000000002</v>
      </c>
      <c r="E518">
        <v>0.89898999999999996</v>
      </c>
    </row>
    <row r="519" spans="1:5" x14ac:dyDescent="0.25">
      <c r="A519">
        <v>2944.7285000000002</v>
      </c>
      <c r="B519">
        <v>0.89980000000000004</v>
      </c>
      <c r="D519">
        <v>2944.7285000000002</v>
      </c>
      <c r="E519">
        <v>0.90005999999999997</v>
      </c>
    </row>
    <row r="520" spans="1:5" x14ac:dyDescent="0.25">
      <c r="A520">
        <v>2942.6878000000002</v>
      </c>
      <c r="B520">
        <v>0.90107000000000004</v>
      </c>
      <c r="D520">
        <v>2942.6878000000002</v>
      </c>
      <c r="E520">
        <v>0.90125999999999995</v>
      </c>
    </row>
    <row r="521" spans="1:5" x14ac:dyDescent="0.25">
      <c r="A521">
        <v>2940.6471000000001</v>
      </c>
      <c r="B521">
        <v>0.90227000000000002</v>
      </c>
      <c r="D521">
        <v>2940.6471000000001</v>
      </c>
      <c r="E521">
        <v>0.90278000000000003</v>
      </c>
    </row>
    <row r="522" spans="1:5" x14ac:dyDescent="0.25">
      <c r="A522">
        <v>2938.6064000000001</v>
      </c>
      <c r="B522">
        <v>0.90342999999999996</v>
      </c>
      <c r="D522">
        <v>2938.6064000000001</v>
      </c>
      <c r="E522">
        <v>0.90402000000000005</v>
      </c>
    </row>
    <row r="523" spans="1:5" x14ac:dyDescent="0.25">
      <c r="A523">
        <v>2936.5657000000001</v>
      </c>
      <c r="B523">
        <v>0.90458000000000005</v>
      </c>
      <c r="D523">
        <v>2936.5657000000001</v>
      </c>
      <c r="E523">
        <v>0.90486999999999995</v>
      </c>
    </row>
    <row r="524" spans="1:5" x14ac:dyDescent="0.25">
      <c r="A524">
        <v>2934.5250000000001</v>
      </c>
      <c r="B524">
        <v>0.90573000000000004</v>
      </c>
      <c r="D524">
        <v>2934.5250000000001</v>
      </c>
      <c r="E524">
        <v>0.90591999999999995</v>
      </c>
    </row>
    <row r="525" spans="1:5" x14ac:dyDescent="0.25">
      <c r="A525">
        <v>2932.4843000000001</v>
      </c>
      <c r="B525">
        <v>0.90686</v>
      </c>
      <c r="D525">
        <v>2932.4843000000001</v>
      </c>
      <c r="E525">
        <v>0.9073</v>
      </c>
    </row>
    <row r="526" spans="1:5" x14ac:dyDescent="0.25">
      <c r="A526">
        <v>2930.4436000000001</v>
      </c>
      <c r="B526">
        <v>0.90798000000000001</v>
      </c>
      <c r="D526">
        <v>2930.4436000000001</v>
      </c>
      <c r="E526">
        <v>0.90847</v>
      </c>
    </row>
    <row r="527" spans="1:5" x14ac:dyDescent="0.25">
      <c r="A527">
        <v>2928.4029099999998</v>
      </c>
      <c r="B527">
        <v>0.90910000000000002</v>
      </c>
      <c r="D527">
        <v>2928.4029099999998</v>
      </c>
      <c r="E527">
        <v>0.90937000000000001</v>
      </c>
    </row>
    <row r="528" spans="1:5" x14ac:dyDescent="0.25">
      <c r="A528">
        <v>2926.3622099999998</v>
      </c>
      <c r="B528">
        <v>0.91029000000000004</v>
      </c>
      <c r="D528">
        <v>2926.3622099999998</v>
      </c>
      <c r="E528">
        <v>0.91047999999999996</v>
      </c>
    </row>
    <row r="529" spans="1:5" x14ac:dyDescent="0.25">
      <c r="A529">
        <v>2924.3215100000002</v>
      </c>
      <c r="B529">
        <v>0.91154000000000002</v>
      </c>
      <c r="D529">
        <v>2924.3215100000002</v>
      </c>
      <c r="E529">
        <v>0.91180000000000005</v>
      </c>
    </row>
    <row r="530" spans="1:5" x14ac:dyDescent="0.25">
      <c r="A530">
        <v>2922.2808100000002</v>
      </c>
      <c r="B530">
        <v>0.91276999999999997</v>
      </c>
      <c r="D530">
        <v>2922.2808100000002</v>
      </c>
      <c r="E530">
        <v>0.91308</v>
      </c>
    </row>
    <row r="531" spans="1:5" x14ac:dyDescent="0.25">
      <c r="A531">
        <v>2920.2401100000002</v>
      </c>
      <c r="B531">
        <v>0.91393999999999997</v>
      </c>
      <c r="D531">
        <v>2920.2401100000002</v>
      </c>
      <c r="E531">
        <v>0.91439999999999999</v>
      </c>
    </row>
    <row r="532" spans="1:5" x14ac:dyDescent="0.25">
      <c r="A532">
        <v>2918.1994100000002</v>
      </c>
      <c r="B532">
        <v>0.91508</v>
      </c>
      <c r="D532">
        <v>2918.1994100000002</v>
      </c>
      <c r="E532">
        <v>0.91583000000000003</v>
      </c>
    </row>
    <row r="533" spans="1:5" x14ac:dyDescent="0.25">
      <c r="A533">
        <v>2916.1587100000002</v>
      </c>
      <c r="B533">
        <v>0.91625000000000001</v>
      </c>
      <c r="D533">
        <v>2916.1587100000002</v>
      </c>
      <c r="E533">
        <v>0.91720000000000002</v>
      </c>
    </row>
    <row r="534" spans="1:5" x14ac:dyDescent="0.25">
      <c r="A534">
        <v>2914.1180100000001</v>
      </c>
      <c r="B534">
        <v>0.91744000000000003</v>
      </c>
      <c r="D534">
        <v>2914.1180100000001</v>
      </c>
      <c r="E534">
        <v>0.91857999999999995</v>
      </c>
    </row>
    <row r="535" spans="1:5" x14ac:dyDescent="0.25">
      <c r="A535">
        <v>2912.0773100000001</v>
      </c>
      <c r="B535">
        <v>0.91859999999999997</v>
      </c>
      <c r="D535">
        <v>2912.0773100000001</v>
      </c>
      <c r="E535">
        <v>0.92010000000000003</v>
      </c>
    </row>
    <row r="536" spans="1:5" x14ac:dyDescent="0.25">
      <c r="A536">
        <v>2910.0366199999999</v>
      </c>
      <c r="B536">
        <v>0.91969000000000001</v>
      </c>
      <c r="D536">
        <v>2910.0366199999999</v>
      </c>
      <c r="E536">
        <v>0.92117000000000004</v>
      </c>
    </row>
    <row r="537" spans="1:5" x14ac:dyDescent="0.25">
      <c r="A537">
        <v>2907.9959199999998</v>
      </c>
      <c r="B537">
        <v>0.92076000000000002</v>
      </c>
      <c r="D537">
        <v>2907.9959199999998</v>
      </c>
      <c r="E537">
        <v>0.92168000000000005</v>
      </c>
    </row>
    <row r="538" spans="1:5" x14ac:dyDescent="0.25">
      <c r="A538">
        <v>2905.9552199999998</v>
      </c>
      <c r="B538">
        <v>0.92181000000000002</v>
      </c>
      <c r="D538">
        <v>2905.9552199999998</v>
      </c>
      <c r="E538">
        <v>0.92264000000000002</v>
      </c>
    </row>
    <row r="539" spans="1:5" x14ac:dyDescent="0.25">
      <c r="A539">
        <v>2903.9145199999998</v>
      </c>
      <c r="B539">
        <v>0.92283999999999999</v>
      </c>
      <c r="D539">
        <v>2903.9145199999998</v>
      </c>
      <c r="E539">
        <v>0.92425999999999997</v>
      </c>
    </row>
    <row r="540" spans="1:5" x14ac:dyDescent="0.25">
      <c r="A540">
        <v>2901.8738199999998</v>
      </c>
      <c r="B540">
        <v>0.92381999999999997</v>
      </c>
      <c r="D540">
        <v>2901.8738199999998</v>
      </c>
      <c r="E540">
        <v>0.92569999999999997</v>
      </c>
    </row>
    <row r="541" spans="1:5" x14ac:dyDescent="0.25">
      <c r="A541">
        <v>2899.8331199999998</v>
      </c>
      <c r="B541">
        <v>0.92476000000000003</v>
      </c>
      <c r="D541">
        <v>2899.8331199999998</v>
      </c>
      <c r="E541">
        <v>0.92674000000000001</v>
      </c>
    </row>
    <row r="542" spans="1:5" x14ac:dyDescent="0.25">
      <c r="A542">
        <v>2897.7924200000002</v>
      </c>
      <c r="B542">
        <v>0.92566000000000004</v>
      </c>
      <c r="D542">
        <v>2897.7924200000002</v>
      </c>
      <c r="E542">
        <v>0.92754999999999999</v>
      </c>
    </row>
    <row r="543" spans="1:5" x14ac:dyDescent="0.25">
      <c r="A543">
        <v>2895.7517200000002</v>
      </c>
      <c r="B543">
        <v>0.92657</v>
      </c>
      <c r="D543">
        <v>2895.7517200000002</v>
      </c>
      <c r="E543">
        <v>0.92834000000000005</v>
      </c>
    </row>
    <row r="544" spans="1:5" x14ac:dyDescent="0.25">
      <c r="A544">
        <v>2893.7110200000002</v>
      </c>
      <c r="B544">
        <v>0.92749000000000004</v>
      </c>
      <c r="D544">
        <v>2893.7110200000002</v>
      </c>
      <c r="E544">
        <v>0.92932999999999999</v>
      </c>
    </row>
    <row r="545" spans="1:5" x14ac:dyDescent="0.25">
      <c r="A545">
        <v>2891.6703299999999</v>
      </c>
      <c r="B545">
        <v>0.92837999999999998</v>
      </c>
      <c r="D545">
        <v>2891.6703299999999</v>
      </c>
      <c r="E545">
        <v>0.93011999999999995</v>
      </c>
    </row>
    <row r="546" spans="1:5" x14ac:dyDescent="0.25">
      <c r="A546">
        <v>2889.6296299999999</v>
      </c>
      <c r="B546">
        <v>0.92923</v>
      </c>
      <c r="D546">
        <v>2889.6296299999999</v>
      </c>
      <c r="E546">
        <v>0.93064000000000002</v>
      </c>
    </row>
    <row r="547" spans="1:5" x14ac:dyDescent="0.25">
      <c r="A547">
        <v>2887.5889299999999</v>
      </c>
      <c r="B547">
        <v>0.93006</v>
      </c>
      <c r="D547">
        <v>2887.5889299999999</v>
      </c>
      <c r="E547">
        <v>0.93147000000000002</v>
      </c>
    </row>
    <row r="548" spans="1:5" x14ac:dyDescent="0.25">
      <c r="A548">
        <v>2885.5482299999999</v>
      </c>
      <c r="B548">
        <v>0.93091999999999997</v>
      </c>
      <c r="D548">
        <v>2885.5482299999999</v>
      </c>
      <c r="E548">
        <v>0.93245999999999996</v>
      </c>
    </row>
    <row r="549" spans="1:5" x14ac:dyDescent="0.25">
      <c r="A549">
        <v>2883.5075299999999</v>
      </c>
      <c r="B549">
        <v>0.93186000000000002</v>
      </c>
      <c r="D549">
        <v>2883.5075299999999</v>
      </c>
      <c r="E549">
        <v>0.93320999999999998</v>
      </c>
    </row>
    <row r="550" spans="1:5" x14ac:dyDescent="0.25">
      <c r="A550">
        <v>2881.4668299999998</v>
      </c>
      <c r="B550">
        <v>0.93283000000000005</v>
      </c>
      <c r="D550">
        <v>2881.4668299999998</v>
      </c>
      <c r="E550">
        <v>0.93383000000000005</v>
      </c>
    </row>
    <row r="551" spans="1:5" x14ac:dyDescent="0.25">
      <c r="A551">
        <v>2879.4261299999998</v>
      </c>
      <c r="B551">
        <v>0.93383000000000005</v>
      </c>
      <c r="D551">
        <v>2879.4261299999998</v>
      </c>
      <c r="E551">
        <v>0.93455999999999995</v>
      </c>
    </row>
    <row r="552" spans="1:5" x14ac:dyDescent="0.25">
      <c r="A552">
        <v>2877.3854299999998</v>
      </c>
      <c r="B552">
        <v>0.93483000000000005</v>
      </c>
      <c r="D552">
        <v>2877.3854299999998</v>
      </c>
      <c r="E552">
        <v>0.93561000000000005</v>
      </c>
    </row>
    <row r="553" spans="1:5" x14ac:dyDescent="0.25">
      <c r="A553">
        <v>2875.3447299999998</v>
      </c>
      <c r="B553">
        <v>0.93579000000000001</v>
      </c>
      <c r="D553">
        <v>2875.3447299999998</v>
      </c>
      <c r="E553">
        <v>0.93657000000000001</v>
      </c>
    </row>
    <row r="554" spans="1:5" x14ac:dyDescent="0.25">
      <c r="A554">
        <v>2873.30404</v>
      </c>
      <c r="B554">
        <v>0.93667</v>
      </c>
      <c r="D554">
        <v>2873.30404</v>
      </c>
      <c r="E554">
        <v>0.93718000000000001</v>
      </c>
    </row>
    <row r="555" spans="1:5" x14ac:dyDescent="0.25">
      <c r="A555">
        <v>2871.26334</v>
      </c>
      <c r="B555">
        <v>0.93749000000000005</v>
      </c>
      <c r="D555">
        <v>2871.26334</v>
      </c>
      <c r="E555">
        <v>0.93801999999999996</v>
      </c>
    </row>
    <row r="556" spans="1:5" x14ac:dyDescent="0.25">
      <c r="A556">
        <v>2869.22264</v>
      </c>
      <c r="B556">
        <v>0.93825999999999998</v>
      </c>
      <c r="D556">
        <v>2869.22264</v>
      </c>
      <c r="E556">
        <v>0.93915999999999999</v>
      </c>
    </row>
    <row r="557" spans="1:5" x14ac:dyDescent="0.25">
      <c r="A557">
        <v>2867.1819399999999</v>
      </c>
      <c r="B557">
        <v>0.93894</v>
      </c>
      <c r="D557">
        <v>2867.1819399999999</v>
      </c>
      <c r="E557">
        <v>0.94016999999999995</v>
      </c>
    </row>
    <row r="558" spans="1:5" x14ac:dyDescent="0.25">
      <c r="A558">
        <v>2865.1412399999999</v>
      </c>
      <c r="B558">
        <v>0.93955</v>
      </c>
      <c r="D558">
        <v>2865.1412399999999</v>
      </c>
      <c r="E558">
        <v>0.94103000000000003</v>
      </c>
    </row>
    <row r="559" spans="1:5" x14ac:dyDescent="0.25">
      <c r="A559">
        <v>2863.1005399999999</v>
      </c>
      <c r="B559">
        <v>0.94016</v>
      </c>
      <c r="D559">
        <v>2863.1005399999999</v>
      </c>
      <c r="E559">
        <v>0.94155999999999995</v>
      </c>
    </row>
    <row r="560" spans="1:5" x14ac:dyDescent="0.25">
      <c r="A560">
        <v>2861.0598399999999</v>
      </c>
      <c r="B560">
        <v>0.94081000000000004</v>
      </c>
      <c r="D560">
        <v>2861.0598399999999</v>
      </c>
      <c r="E560">
        <v>0.94177</v>
      </c>
    </row>
    <row r="561" spans="1:5" x14ac:dyDescent="0.25">
      <c r="A561">
        <v>2859.0191399999999</v>
      </c>
      <c r="B561">
        <v>0.94149000000000005</v>
      </c>
      <c r="D561">
        <v>2859.0191399999999</v>
      </c>
      <c r="E561">
        <v>0.94213000000000002</v>
      </c>
    </row>
    <row r="562" spans="1:5" x14ac:dyDescent="0.25">
      <c r="A562">
        <v>2856.9784399999999</v>
      </c>
      <c r="B562">
        <v>0.94218000000000002</v>
      </c>
      <c r="D562">
        <v>2856.9784399999999</v>
      </c>
      <c r="E562">
        <v>0.94249000000000005</v>
      </c>
    </row>
    <row r="563" spans="1:5" x14ac:dyDescent="0.25">
      <c r="A563">
        <v>2854.9377500000001</v>
      </c>
      <c r="B563">
        <v>0.94286000000000003</v>
      </c>
      <c r="D563">
        <v>2854.9377500000001</v>
      </c>
      <c r="E563">
        <v>0.94277</v>
      </c>
    </row>
    <row r="564" spans="1:5" x14ac:dyDescent="0.25">
      <c r="A564">
        <v>2852.89705</v>
      </c>
      <c r="B564">
        <v>0.94355999999999995</v>
      </c>
      <c r="D564">
        <v>2852.89705</v>
      </c>
      <c r="E564">
        <v>0.94342000000000004</v>
      </c>
    </row>
    <row r="565" spans="1:5" x14ac:dyDescent="0.25">
      <c r="A565">
        <v>2850.85635</v>
      </c>
      <c r="B565">
        <v>0.94430000000000003</v>
      </c>
      <c r="D565">
        <v>2850.85635</v>
      </c>
      <c r="E565">
        <v>0.94455999999999996</v>
      </c>
    </row>
    <row r="566" spans="1:5" x14ac:dyDescent="0.25">
      <c r="A566">
        <v>2848.81565</v>
      </c>
      <c r="B566">
        <v>0.94508999999999999</v>
      </c>
      <c r="D566">
        <v>2848.81565</v>
      </c>
      <c r="E566">
        <v>0.94589999999999996</v>
      </c>
    </row>
    <row r="567" spans="1:5" x14ac:dyDescent="0.25">
      <c r="A567">
        <v>2846.77495</v>
      </c>
      <c r="B567">
        <v>0.94591999999999998</v>
      </c>
      <c r="D567">
        <v>2846.77495</v>
      </c>
      <c r="E567">
        <v>0.94696000000000002</v>
      </c>
    </row>
    <row r="568" spans="1:5" x14ac:dyDescent="0.25">
      <c r="A568">
        <v>2844.73425</v>
      </c>
      <c r="B568">
        <v>0.94674999999999998</v>
      </c>
      <c r="D568">
        <v>2844.73425</v>
      </c>
      <c r="E568">
        <v>0.94752999999999998</v>
      </c>
    </row>
    <row r="569" spans="1:5" x14ac:dyDescent="0.25">
      <c r="A569">
        <v>2842.69355</v>
      </c>
      <c r="B569">
        <v>0.94755999999999996</v>
      </c>
      <c r="D569">
        <v>2842.69355</v>
      </c>
      <c r="E569">
        <v>0.94789999999999996</v>
      </c>
    </row>
    <row r="570" spans="1:5" x14ac:dyDescent="0.25">
      <c r="A570">
        <v>2840.6528499999999</v>
      </c>
      <c r="B570">
        <v>0.94833999999999996</v>
      </c>
      <c r="D570">
        <v>2840.6528499999999</v>
      </c>
      <c r="E570">
        <v>0.94845999999999997</v>
      </c>
    </row>
    <row r="571" spans="1:5" x14ac:dyDescent="0.25">
      <c r="A571">
        <v>2838.6121499999999</v>
      </c>
      <c r="B571">
        <v>0.94906999999999997</v>
      </c>
      <c r="D571">
        <v>2838.6121499999999</v>
      </c>
      <c r="E571">
        <v>0.94930999999999999</v>
      </c>
    </row>
    <row r="572" spans="1:5" x14ac:dyDescent="0.25">
      <c r="A572">
        <v>2836.5714600000001</v>
      </c>
      <c r="B572">
        <v>0.94967999999999997</v>
      </c>
      <c r="D572">
        <v>2836.5714600000001</v>
      </c>
      <c r="E572">
        <v>0.95011999999999996</v>
      </c>
    </row>
    <row r="573" spans="1:5" x14ac:dyDescent="0.25">
      <c r="A573">
        <v>2834.5307600000001</v>
      </c>
      <c r="B573">
        <v>0.95018999999999998</v>
      </c>
      <c r="D573">
        <v>2834.5307600000001</v>
      </c>
      <c r="E573">
        <v>0.95079000000000002</v>
      </c>
    </row>
    <row r="574" spans="1:5" x14ac:dyDescent="0.25">
      <c r="A574">
        <v>2832.4900600000001</v>
      </c>
      <c r="B574">
        <v>0.95069000000000004</v>
      </c>
      <c r="D574">
        <v>2832.4900600000001</v>
      </c>
      <c r="E574">
        <v>0.95159000000000005</v>
      </c>
    </row>
    <row r="575" spans="1:5" x14ac:dyDescent="0.25">
      <c r="A575">
        <v>2830.4493600000001</v>
      </c>
      <c r="B575">
        <v>0.95118999999999998</v>
      </c>
      <c r="D575">
        <v>2830.4493600000001</v>
      </c>
      <c r="E575">
        <v>0.95242000000000004</v>
      </c>
    </row>
    <row r="576" spans="1:5" x14ac:dyDescent="0.25">
      <c r="A576">
        <v>2828.4086600000001</v>
      </c>
      <c r="B576">
        <v>0.95165999999999995</v>
      </c>
      <c r="D576">
        <v>2828.4086600000001</v>
      </c>
      <c r="E576">
        <v>0.95296999999999998</v>
      </c>
    </row>
    <row r="577" spans="1:5" x14ac:dyDescent="0.25">
      <c r="A577">
        <v>2826.36796</v>
      </c>
      <c r="B577">
        <v>0.95206999999999997</v>
      </c>
      <c r="D577">
        <v>2826.36796</v>
      </c>
      <c r="E577">
        <v>0.95326999999999995</v>
      </c>
    </row>
    <row r="578" spans="1:5" x14ac:dyDescent="0.25">
      <c r="A578">
        <v>2824.32726</v>
      </c>
      <c r="B578">
        <v>0.95243999999999995</v>
      </c>
      <c r="D578">
        <v>2824.32726</v>
      </c>
      <c r="E578">
        <v>0.95352000000000003</v>
      </c>
    </row>
    <row r="579" spans="1:5" x14ac:dyDescent="0.25">
      <c r="A579">
        <v>2822.28656</v>
      </c>
      <c r="B579">
        <v>0.95281000000000005</v>
      </c>
      <c r="D579">
        <v>2822.28656</v>
      </c>
      <c r="E579">
        <v>0.95391999999999999</v>
      </c>
    </row>
    <row r="580" spans="1:5" x14ac:dyDescent="0.25">
      <c r="A580">
        <v>2820.24586</v>
      </c>
      <c r="B580">
        <v>0.95320000000000005</v>
      </c>
      <c r="D580">
        <v>2820.24586</v>
      </c>
      <c r="E580">
        <v>0.95445000000000002</v>
      </c>
    </row>
    <row r="581" spans="1:5" x14ac:dyDescent="0.25">
      <c r="A581">
        <v>2818.2051700000002</v>
      </c>
      <c r="B581">
        <v>0.95360999999999996</v>
      </c>
      <c r="D581">
        <v>2818.2051700000002</v>
      </c>
      <c r="E581">
        <v>0.95477999999999996</v>
      </c>
    </row>
    <row r="582" spans="1:5" x14ac:dyDescent="0.25">
      <c r="A582">
        <v>2816.1644700000002</v>
      </c>
      <c r="B582">
        <v>0.95408999999999999</v>
      </c>
      <c r="D582">
        <v>2816.1644700000002</v>
      </c>
      <c r="E582">
        <v>0.95503000000000005</v>
      </c>
    </row>
    <row r="583" spans="1:5" x14ac:dyDescent="0.25">
      <c r="A583">
        <v>2814.1237700000001</v>
      </c>
      <c r="B583">
        <v>0.9546</v>
      </c>
      <c r="D583">
        <v>2814.1237700000001</v>
      </c>
      <c r="E583">
        <v>0.95557999999999998</v>
      </c>
    </row>
    <row r="584" spans="1:5" x14ac:dyDescent="0.25">
      <c r="A584">
        <v>2812.0830700000001</v>
      </c>
      <c r="B584">
        <v>0.95513000000000003</v>
      </c>
      <c r="D584">
        <v>2812.0830700000001</v>
      </c>
      <c r="E584">
        <v>0.95621</v>
      </c>
    </row>
    <row r="585" spans="1:5" x14ac:dyDescent="0.25">
      <c r="A585">
        <v>2810.0423700000001</v>
      </c>
      <c r="B585">
        <v>0.95565999999999995</v>
      </c>
      <c r="D585">
        <v>2810.0423700000001</v>
      </c>
      <c r="E585">
        <v>0.95660000000000001</v>
      </c>
    </row>
    <row r="586" spans="1:5" x14ac:dyDescent="0.25">
      <c r="A586">
        <v>2808.0016700000001</v>
      </c>
      <c r="B586">
        <v>0.95618000000000003</v>
      </c>
      <c r="D586">
        <v>2808.0016700000001</v>
      </c>
      <c r="E586">
        <v>0.95689000000000002</v>
      </c>
    </row>
    <row r="587" spans="1:5" x14ac:dyDescent="0.25">
      <c r="A587">
        <v>2805.9609700000001</v>
      </c>
      <c r="B587">
        <v>0.95662999999999998</v>
      </c>
      <c r="D587">
        <v>2805.9609700000001</v>
      </c>
      <c r="E587">
        <v>0.95728000000000002</v>
      </c>
    </row>
    <row r="588" spans="1:5" x14ac:dyDescent="0.25">
      <c r="A588">
        <v>2803.9202700000001</v>
      </c>
      <c r="B588">
        <v>0.95701000000000003</v>
      </c>
      <c r="D588">
        <v>2803.9202700000001</v>
      </c>
      <c r="E588">
        <v>0.95764000000000005</v>
      </c>
    </row>
    <row r="589" spans="1:5" x14ac:dyDescent="0.25">
      <c r="A589">
        <v>2801.8795700000001</v>
      </c>
      <c r="B589">
        <v>0.95737000000000005</v>
      </c>
      <c r="D589">
        <v>2801.8795700000001</v>
      </c>
      <c r="E589">
        <v>0.95794999999999997</v>
      </c>
    </row>
    <row r="590" spans="1:5" x14ac:dyDescent="0.25">
      <c r="A590">
        <v>2799.8388799999998</v>
      </c>
      <c r="B590">
        <v>0.95774000000000004</v>
      </c>
      <c r="D590">
        <v>2799.8388799999998</v>
      </c>
      <c r="E590">
        <v>0.95833999999999997</v>
      </c>
    </row>
    <row r="591" spans="1:5" x14ac:dyDescent="0.25">
      <c r="A591">
        <v>2797.7981799999998</v>
      </c>
      <c r="B591">
        <v>0.95804</v>
      </c>
      <c r="D591">
        <v>2797.7981799999998</v>
      </c>
      <c r="E591">
        <v>0.95874999999999999</v>
      </c>
    </row>
    <row r="592" spans="1:5" x14ac:dyDescent="0.25">
      <c r="A592">
        <v>2795.7574800000002</v>
      </c>
      <c r="B592">
        <v>0.95826999999999996</v>
      </c>
      <c r="D592">
        <v>2795.7574800000002</v>
      </c>
      <c r="E592">
        <v>0.95901000000000003</v>
      </c>
    </row>
    <row r="593" spans="1:5" x14ac:dyDescent="0.25">
      <c r="A593">
        <v>2793.7167800000002</v>
      </c>
      <c r="B593">
        <v>0.95848999999999995</v>
      </c>
      <c r="D593">
        <v>2793.7167800000002</v>
      </c>
      <c r="E593">
        <v>0.95914999999999995</v>
      </c>
    </row>
    <row r="594" spans="1:5" x14ac:dyDescent="0.25">
      <c r="A594">
        <v>2791.6760800000002</v>
      </c>
      <c r="B594">
        <v>0.95877000000000001</v>
      </c>
      <c r="D594">
        <v>2791.6760800000002</v>
      </c>
      <c r="E594">
        <v>0.95921999999999996</v>
      </c>
    </row>
    <row r="595" spans="1:5" x14ac:dyDescent="0.25">
      <c r="A595">
        <v>2789.6353800000002</v>
      </c>
      <c r="B595">
        <v>0.95909999999999995</v>
      </c>
      <c r="D595">
        <v>2789.6353800000002</v>
      </c>
      <c r="E595">
        <v>0.95940999999999999</v>
      </c>
    </row>
    <row r="596" spans="1:5" x14ac:dyDescent="0.25">
      <c r="A596">
        <v>2787.5946800000002</v>
      </c>
      <c r="B596">
        <v>0.95945999999999998</v>
      </c>
      <c r="D596">
        <v>2787.5946800000002</v>
      </c>
      <c r="E596">
        <v>0.95987999999999996</v>
      </c>
    </row>
    <row r="597" spans="1:5" x14ac:dyDescent="0.25">
      <c r="A597">
        <v>2785.5539800000001</v>
      </c>
      <c r="B597">
        <v>0.95982999999999996</v>
      </c>
      <c r="D597">
        <v>2785.5539800000001</v>
      </c>
      <c r="E597">
        <v>0.96033000000000002</v>
      </c>
    </row>
    <row r="598" spans="1:5" x14ac:dyDescent="0.25">
      <c r="A598">
        <v>2783.5132800000001</v>
      </c>
      <c r="B598">
        <v>0.96021000000000001</v>
      </c>
      <c r="D598">
        <v>2783.5132800000001</v>
      </c>
      <c r="E598">
        <v>0.96055999999999997</v>
      </c>
    </row>
    <row r="599" spans="1:5" x14ac:dyDescent="0.25">
      <c r="A599">
        <v>2781.4725899999999</v>
      </c>
      <c r="B599">
        <v>0.96060999999999996</v>
      </c>
      <c r="D599">
        <v>2781.4725899999999</v>
      </c>
      <c r="E599">
        <v>0.96097999999999995</v>
      </c>
    </row>
    <row r="600" spans="1:5" x14ac:dyDescent="0.25">
      <c r="A600">
        <v>2779.4318899999998</v>
      </c>
      <c r="B600">
        <v>0.96101999999999999</v>
      </c>
      <c r="D600">
        <v>2779.4318899999998</v>
      </c>
      <c r="E600">
        <v>0.96172999999999997</v>
      </c>
    </row>
    <row r="601" spans="1:5" x14ac:dyDescent="0.25">
      <c r="A601">
        <v>2777.3911899999998</v>
      </c>
      <c r="B601">
        <v>0.96145000000000003</v>
      </c>
      <c r="D601">
        <v>2777.3911899999998</v>
      </c>
      <c r="E601">
        <v>0.96235999999999999</v>
      </c>
    </row>
    <row r="602" spans="1:5" x14ac:dyDescent="0.25">
      <c r="A602">
        <v>2775.3504899999998</v>
      </c>
      <c r="B602">
        <v>0.96184999999999998</v>
      </c>
      <c r="D602">
        <v>2775.3504899999998</v>
      </c>
      <c r="E602">
        <v>0.96275999999999995</v>
      </c>
    </row>
    <row r="603" spans="1:5" x14ac:dyDescent="0.25">
      <c r="A603">
        <v>2773.3097899999998</v>
      </c>
      <c r="B603">
        <v>0.96221000000000001</v>
      </c>
      <c r="D603">
        <v>2773.3097899999998</v>
      </c>
      <c r="E603">
        <v>0.96306999999999998</v>
      </c>
    </row>
    <row r="604" spans="1:5" x14ac:dyDescent="0.25">
      <c r="A604">
        <v>2771.2690899999998</v>
      </c>
      <c r="B604">
        <v>0.96253</v>
      </c>
      <c r="D604">
        <v>2771.2690899999998</v>
      </c>
      <c r="E604">
        <v>0.96333000000000002</v>
      </c>
    </row>
    <row r="605" spans="1:5" x14ac:dyDescent="0.25">
      <c r="A605">
        <v>2769.2283900000002</v>
      </c>
      <c r="B605">
        <v>0.96286000000000005</v>
      </c>
      <c r="D605">
        <v>2769.2283900000002</v>
      </c>
      <c r="E605">
        <v>0.96372999999999998</v>
      </c>
    </row>
    <row r="606" spans="1:5" x14ac:dyDescent="0.25">
      <c r="A606">
        <v>2767.1876900000002</v>
      </c>
      <c r="B606">
        <v>0.96316999999999997</v>
      </c>
      <c r="D606">
        <v>2767.1876900000002</v>
      </c>
      <c r="E606">
        <v>0.96431999999999995</v>
      </c>
    </row>
    <row r="607" spans="1:5" x14ac:dyDescent="0.25">
      <c r="A607">
        <v>2765.1469900000002</v>
      </c>
      <c r="B607">
        <v>0.96345999999999998</v>
      </c>
      <c r="D607">
        <v>2765.1469900000002</v>
      </c>
      <c r="E607">
        <v>0.96469000000000005</v>
      </c>
    </row>
    <row r="608" spans="1:5" x14ac:dyDescent="0.25">
      <c r="A608">
        <v>2763.1062999999999</v>
      </c>
      <c r="B608">
        <v>0.96370999999999996</v>
      </c>
      <c r="D608">
        <v>2763.1062999999999</v>
      </c>
      <c r="E608">
        <v>0.96470999999999996</v>
      </c>
    </row>
    <row r="609" spans="1:5" x14ac:dyDescent="0.25">
      <c r="A609">
        <v>2761.0655999999999</v>
      </c>
      <c r="B609">
        <v>0.96396000000000004</v>
      </c>
      <c r="D609">
        <v>2761.0655999999999</v>
      </c>
      <c r="E609">
        <v>0.96467000000000003</v>
      </c>
    </row>
    <row r="610" spans="1:5" x14ac:dyDescent="0.25">
      <c r="A610">
        <v>2759.0248999999999</v>
      </c>
      <c r="B610">
        <v>0.96421000000000001</v>
      </c>
      <c r="D610">
        <v>2759.0248999999999</v>
      </c>
      <c r="E610">
        <v>0.96480999999999995</v>
      </c>
    </row>
    <row r="611" spans="1:5" x14ac:dyDescent="0.25">
      <c r="A611">
        <v>2756.9841999999999</v>
      </c>
      <c r="B611">
        <v>0.96443000000000001</v>
      </c>
      <c r="D611">
        <v>2756.9841999999999</v>
      </c>
      <c r="E611">
        <v>0.96519999999999995</v>
      </c>
    </row>
    <row r="612" spans="1:5" x14ac:dyDescent="0.25">
      <c r="A612">
        <v>2754.9434999999999</v>
      </c>
      <c r="B612">
        <v>0.96462000000000003</v>
      </c>
      <c r="D612">
        <v>2754.9434999999999</v>
      </c>
      <c r="E612">
        <v>0.96575999999999995</v>
      </c>
    </row>
    <row r="613" spans="1:5" x14ac:dyDescent="0.25">
      <c r="A613">
        <v>2752.9027999999998</v>
      </c>
      <c r="B613">
        <v>0.96482000000000001</v>
      </c>
      <c r="D613">
        <v>2752.9027999999998</v>
      </c>
      <c r="E613">
        <v>0.96618999999999999</v>
      </c>
    </row>
    <row r="614" spans="1:5" x14ac:dyDescent="0.25">
      <c r="A614">
        <v>2750.8620999999998</v>
      </c>
      <c r="B614">
        <v>0.96506999999999998</v>
      </c>
      <c r="D614">
        <v>2750.8620999999998</v>
      </c>
      <c r="E614">
        <v>0.96625000000000005</v>
      </c>
    </row>
    <row r="615" spans="1:5" x14ac:dyDescent="0.25">
      <c r="A615">
        <v>2748.8213999999998</v>
      </c>
      <c r="B615">
        <v>0.96536</v>
      </c>
      <c r="D615">
        <v>2748.8213999999998</v>
      </c>
      <c r="E615">
        <v>0.96611000000000002</v>
      </c>
    </row>
    <row r="616" spans="1:5" x14ac:dyDescent="0.25">
      <c r="A616">
        <v>2746.7806999999998</v>
      </c>
      <c r="B616">
        <v>0.96564000000000005</v>
      </c>
      <c r="D616">
        <v>2746.7806999999998</v>
      </c>
      <c r="E616">
        <v>0.96618999999999999</v>
      </c>
    </row>
    <row r="617" spans="1:5" x14ac:dyDescent="0.25">
      <c r="A617">
        <v>2744.74001</v>
      </c>
      <c r="B617">
        <v>0.96589999999999998</v>
      </c>
      <c r="D617">
        <v>2744.74001</v>
      </c>
      <c r="E617">
        <v>0.96652000000000005</v>
      </c>
    </row>
    <row r="618" spans="1:5" x14ac:dyDescent="0.25">
      <c r="A618">
        <v>2742.69931</v>
      </c>
      <c r="B618">
        <v>0.96614999999999995</v>
      </c>
      <c r="D618">
        <v>2742.69931</v>
      </c>
      <c r="E618">
        <v>0.96689000000000003</v>
      </c>
    </row>
    <row r="619" spans="1:5" x14ac:dyDescent="0.25">
      <c r="A619">
        <v>2740.65861</v>
      </c>
      <c r="B619">
        <v>0.96636999999999995</v>
      </c>
      <c r="D619">
        <v>2740.65861</v>
      </c>
      <c r="E619">
        <v>0.96735000000000004</v>
      </c>
    </row>
    <row r="620" spans="1:5" x14ac:dyDescent="0.25">
      <c r="A620">
        <v>2738.6179099999999</v>
      </c>
      <c r="B620">
        <v>0.96658999999999995</v>
      </c>
      <c r="D620">
        <v>2738.6179099999999</v>
      </c>
      <c r="E620">
        <v>0.96777999999999997</v>
      </c>
    </row>
    <row r="621" spans="1:5" x14ac:dyDescent="0.25">
      <c r="A621">
        <v>2736.5772099999999</v>
      </c>
      <c r="B621">
        <v>0.96679000000000004</v>
      </c>
      <c r="D621">
        <v>2736.5772099999999</v>
      </c>
      <c r="E621">
        <v>0.96797999999999995</v>
      </c>
    </row>
    <row r="622" spans="1:5" x14ac:dyDescent="0.25">
      <c r="A622">
        <v>2734.5365099999999</v>
      </c>
      <c r="B622">
        <v>0.96696000000000004</v>
      </c>
      <c r="D622">
        <v>2734.5365099999999</v>
      </c>
      <c r="E622">
        <v>0.96787999999999996</v>
      </c>
    </row>
    <row r="623" spans="1:5" x14ac:dyDescent="0.25">
      <c r="A623">
        <v>2732.4958099999999</v>
      </c>
      <c r="B623">
        <v>0.96709000000000001</v>
      </c>
      <c r="D623">
        <v>2732.4958099999999</v>
      </c>
      <c r="E623">
        <v>0.96787999999999996</v>
      </c>
    </row>
    <row r="624" spans="1:5" x14ac:dyDescent="0.25">
      <c r="A624">
        <v>2730.4551099999999</v>
      </c>
      <c r="B624">
        <v>0.96721999999999997</v>
      </c>
      <c r="D624">
        <v>2730.4551099999999</v>
      </c>
      <c r="E624">
        <v>0.96813000000000005</v>
      </c>
    </row>
    <row r="625" spans="1:5" x14ac:dyDescent="0.25">
      <c r="A625">
        <v>2728.4144099999999</v>
      </c>
      <c r="B625">
        <v>0.96736999999999995</v>
      </c>
      <c r="D625">
        <v>2728.4144099999999</v>
      </c>
      <c r="E625">
        <v>0.96825000000000006</v>
      </c>
    </row>
    <row r="626" spans="1:5" x14ac:dyDescent="0.25">
      <c r="A626">
        <v>2726.37372</v>
      </c>
      <c r="B626">
        <v>0.96755999999999998</v>
      </c>
      <c r="D626">
        <v>2726.37372</v>
      </c>
      <c r="E626">
        <v>0.96819</v>
      </c>
    </row>
    <row r="627" spans="1:5" x14ac:dyDescent="0.25">
      <c r="A627">
        <v>2724.33302</v>
      </c>
      <c r="B627">
        <v>0.96774000000000004</v>
      </c>
      <c r="D627">
        <v>2724.33302</v>
      </c>
      <c r="E627">
        <v>0.96809000000000001</v>
      </c>
    </row>
    <row r="628" spans="1:5" x14ac:dyDescent="0.25">
      <c r="A628">
        <v>2722.29232</v>
      </c>
      <c r="B628">
        <v>0.96792999999999996</v>
      </c>
      <c r="D628">
        <v>2722.29232</v>
      </c>
      <c r="E628">
        <v>0.96806000000000003</v>
      </c>
    </row>
    <row r="629" spans="1:5" x14ac:dyDescent="0.25">
      <c r="A629">
        <v>2720.25162</v>
      </c>
      <c r="B629">
        <v>0.96814999999999996</v>
      </c>
      <c r="D629">
        <v>2720.25162</v>
      </c>
      <c r="E629">
        <v>0.96833999999999998</v>
      </c>
    </row>
    <row r="630" spans="1:5" x14ac:dyDescent="0.25">
      <c r="A630">
        <v>2718.21092</v>
      </c>
      <c r="B630">
        <v>0.96841999999999995</v>
      </c>
      <c r="D630">
        <v>2718.21092</v>
      </c>
      <c r="E630">
        <v>0.96892</v>
      </c>
    </row>
    <row r="631" spans="1:5" x14ac:dyDescent="0.25">
      <c r="A631">
        <v>2716.17022</v>
      </c>
      <c r="B631">
        <v>0.96867999999999999</v>
      </c>
      <c r="D631">
        <v>2716.17022</v>
      </c>
      <c r="E631">
        <v>0.96945999999999999</v>
      </c>
    </row>
    <row r="632" spans="1:5" x14ac:dyDescent="0.25">
      <c r="A632">
        <v>2714.12952</v>
      </c>
      <c r="B632">
        <v>0.96894000000000002</v>
      </c>
      <c r="D632">
        <v>2714.12952</v>
      </c>
      <c r="E632">
        <v>0.96982999999999997</v>
      </c>
    </row>
    <row r="633" spans="1:5" x14ac:dyDescent="0.25">
      <c r="A633">
        <v>2712.0888199999999</v>
      </c>
      <c r="B633">
        <v>0.96923000000000004</v>
      </c>
      <c r="D633">
        <v>2712.0888199999999</v>
      </c>
      <c r="E633">
        <v>0.97011999999999998</v>
      </c>
    </row>
    <row r="634" spans="1:5" x14ac:dyDescent="0.25">
      <c r="A634">
        <v>2710.0481199999999</v>
      </c>
      <c r="B634">
        <v>0.96953999999999996</v>
      </c>
      <c r="D634">
        <v>2710.0481199999999</v>
      </c>
      <c r="E634">
        <v>0.97031000000000001</v>
      </c>
    </row>
    <row r="635" spans="1:5" x14ac:dyDescent="0.25">
      <c r="A635">
        <v>2708.0074300000001</v>
      </c>
      <c r="B635">
        <v>0.96984000000000004</v>
      </c>
      <c r="D635">
        <v>2708.0074300000001</v>
      </c>
      <c r="E635">
        <v>0.97048999999999996</v>
      </c>
    </row>
    <row r="636" spans="1:5" x14ac:dyDescent="0.25">
      <c r="A636">
        <v>2705.9667300000001</v>
      </c>
      <c r="B636">
        <v>0.97009999999999996</v>
      </c>
      <c r="D636">
        <v>2705.9667300000001</v>
      </c>
      <c r="E636">
        <v>0.97065999999999997</v>
      </c>
    </row>
    <row r="637" spans="1:5" x14ac:dyDescent="0.25">
      <c r="A637">
        <v>2703.9260300000001</v>
      </c>
      <c r="B637">
        <v>0.97031000000000001</v>
      </c>
      <c r="D637">
        <v>2703.9260300000001</v>
      </c>
      <c r="E637">
        <v>0.9708</v>
      </c>
    </row>
    <row r="638" spans="1:5" x14ac:dyDescent="0.25">
      <c r="A638">
        <v>2701.8853300000001</v>
      </c>
      <c r="B638">
        <v>0.97048000000000001</v>
      </c>
      <c r="D638">
        <v>2701.8853300000001</v>
      </c>
      <c r="E638">
        <v>0.97097999999999995</v>
      </c>
    </row>
    <row r="639" spans="1:5" x14ac:dyDescent="0.25">
      <c r="A639">
        <v>2699.8446300000001</v>
      </c>
      <c r="B639">
        <v>0.97062999999999999</v>
      </c>
      <c r="D639">
        <v>2699.8446300000001</v>
      </c>
      <c r="E639">
        <v>0.97130000000000005</v>
      </c>
    </row>
    <row r="640" spans="1:5" x14ac:dyDescent="0.25">
      <c r="A640">
        <v>2697.80393</v>
      </c>
      <c r="B640">
        <v>0.97079000000000004</v>
      </c>
      <c r="D640">
        <v>2697.80393</v>
      </c>
      <c r="E640">
        <v>0.97165000000000001</v>
      </c>
    </row>
    <row r="641" spans="1:5" x14ac:dyDescent="0.25">
      <c r="A641">
        <v>2695.76323</v>
      </c>
      <c r="B641">
        <v>0.97096000000000005</v>
      </c>
      <c r="D641">
        <v>2695.76323</v>
      </c>
      <c r="E641">
        <v>0.97197</v>
      </c>
    </row>
    <row r="642" spans="1:5" x14ac:dyDescent="0.25">
      <c r="A642">
        <v>2693.72253</v>
      </c>
      <c r="B642">
        <v>0.97109999999999996</v>
      </c>
      <c r="D642">
        <v>2693.72253</v>
      </c>
      <c r="E642">
        <v>0.97221999999999997</v>
      </c>
    </row>
    <row r="643" spans="1:5" x14ac:dyDescent="0.25">
      <c r="A643">
        <v>2691.68183</v>
      </c>
      <c r="B643">
        <v>0.97121999999999997</v>
      </c>
      <c r="D643">
        <v>2691.68183</v>
      </c>
      <c r="E643">
        <v>0.97226000000000001</v>
      </c>
    </row>
    <row r="644" spans="1:5" x14ac:dyDescent="0.25">
      <c r="A644">
        <v>2689.6411400000002</v>
      </c>
      <c r="B644">
        <v>0.97131000000000001</v>
      </c>
      <c r="D644">
        <v>2689.6411400000002</v>
      </c>
      <c r="E644">
        <v>0.97224999999999995</v>
      </c>
    </row>
    <row r="645" spans="1:5" x14ac:dyDescent="0.25">
      <c r="A645">
        <v>2687.6004400000002</v>
      </c>
      <c r="B645">
        <v>0.97138000000000002</v>
      </c>
      <c r="D645">
        <v>2687.6004400000002</v>
      </c>
      <c r="E645">
        <v>0.97223000000000004</v>
      </c>
    </row>
    <row r="646" spans="1:5" x14ac:dyDescent="0.25">
      <c r="A646">
        <v>2685.5597400000001</v>
      </c>
      <c r="B646">
        <v>0.97148000000000001</v>
      </c>
      <c r="D646">
        <v>2685.5597400000001</v>
      </c>
      <c r="E646">
        <v>0.97206999999999999</v>
      </c>
    </row>
    <row r="647" spans="1:5" x14ac:dyDescent="0.25">
      <c r="A647">
        <v>2683.5190400000001</v>
      </c>
      <c r="B647">
        <v>0.97160000000000002</v>
      </c>
      <c r="D647">
        <v>2683.5190400000001</v>
      </c>
      <c r="E647">
        <v>0.97202999999999995</v>
      </c>
    </row>
    <row r="648" spans="1:5" x14ac:dyDescent="0.25">
      <c r="A648">
        <v>2681.4783400000001</v>
      </c>
      <c r="B648">
        <v>0.97175</v>
      </c>
      <c r="D648">
        <v>2681.4783400000001</v>
      </c>
      <c r="E648">
        <v>0.97221999999999997</v>
      </c>
    </row>
    <row r="649" spans="1:5" x14ac:dyDescent="0.25">
      <c r="A649">
        <v>2679.4376400000001</v>
      </c>
      <c r="B649">
        <v>0.97192999999999996</v>
      </c>
      <c r="D649">
        <v>2679.4376400000001</v>
      </c>
      <c r="E649">
        <v>0.97248000000000001</v>
      </c>
    </row>
    <row r="650" spans="1:5" x14ac:dyDescent="0.25">
      <c r="A650">
        <v>2677.3969400000001</v>
      </c>
      <c r="B650">
        <v>0.97214</v>
      </c>
      <c r="D650">
        <v>2677.3969400000001</v>
      </c>
      <c r="E650">
        <v>0.97272999999999998</v>
      </c>
    </row>
    <row r="651" spans="1:5" x14ac:dyDescent="0.25">
      <c r="A651">
        <v>2675.3562400000001</v>
      </c>
      <c r="B651">
        <v>0.97235000000000005</v>
      </c>
      <c r="D651">
        <v>2675.3562400000001</v>
      </c>
      <c r="E651">
        <v>0.97289999999999999</v>
      </c>
    </row>
    <row r="652" spans="1:5" x14ac:dyDescent="0.25">
      <c r="A652">
        <v>2673.3155400000001</v>
      </c>
      <c r="B652">
        <v>0.97255000000000003</v>
      </c>
      <c r="D652">
        <v>2673.3155400000001</v>
      </c>
      <c r="E652">
        <v>0.97302</v>
      </c>
    </row>
    <row r="653" spans="1:5" x14ac:dyDescent="0.25">
      <c r="A653">
        <v>2671.2748499999998</v>
      </c>
      <c r="B653">
        <v>0.97272000000000003</v>
      </c>
      <c r="D653">
        <v>2671.2748499999998</v>
      </c>
      <c r="E653">
        <v>0.97319</v>
      </c>
    </row>
    <row r="654" spans="1:5" x14ac:dyDescent="0.25">
      <c r="A654">
        <v>2669.2341500000002</v>
      </c>
      <c r="B654">
        <v>0.97287000000000001</v>
      </c>
      <c r="D654">
        <v>2669.2341500000002</v>
      </c>
      <c r="E654">
        <v>0.97331000000000001</v>
      </c>
    </row>
    <row r="655" spans="1:5" x14ac:dyDescent="0.25">
      <c r="A655">
        <v>2667.1934500000002</v>
      </c>
      <c r="B655">
        <v>0.97299000000000002</v>
      </c>
      <c r="D655">
        <v>2667.1934500000002</v>
      </c>
      <c r="E655">
        <v>0.97338000000000002</v>
      </c>
    </row>
    <row r="656" spans="1:5" x14ac:dyDescent="0.25">
      <c r="A656">
        <v>2665.1527500000002</v>
      </c>
      <c r="B656">
        <v>0.97307999999999995</v>
      </c>
      <c r="D656">
        <v>2665.1527500000002</v>
      </c>
      <c r="E656">
        <v>0.97363999999999995</v>
      </c>
    </row>
    <row r="657" spans="1:5" x14ac:dyDescent="0.25">
      <c r="A657">
        <v>2663.1120500000002</v>
      </c>
      <c r="B657">
        <v>0.97314999999999996</v>
      </c>
      <c r="D657">
        <v>2663.1120500000002</v>
      </c>
      <c r="E657">
        <v>0.97391000000000005</v>
      </c>
    </row>
    <row r="658" spans="1:5" x14ac:dyDescent="0.25">
      <c r="A658">
        <v>2661.0713500000002</v>
      </c>
      <c r="B658">
        <v>0.97318000000000005</v>
      </c>
      <c r="D658">
        <v>2661.0713500000002</v>
      </c>
      <c r="E658">
        <v>0.97392000000000001</v>
      </c>
    </row>
    <row r="659" spans="1:5" x14ac:dyDescent="0.25">
      <c r="A659">
        <v>2659.0306500000002</v>
      </c>
      <c r="B659">
        <v>0.97319999999999995</v>
      </c>
      <c r="D659">
        <v>2659.0306500000002</v>
      </c>
      <c r="E659">
        <v>0.97394999999999998</v>
      </c>
    </row>
    <row r="660" spans="1:5" x14ac:dyDescent="0.25">
      <c r="A660">
        <v>2656.9899500000001</v>
      </c>
      <c r="B660">
        <v>0.97323000000000004</v>
      </c>
      <c r="D660">
        <v>2656.9899500000001</v>
      </c>
      <c r="E660">
        <v>0.97402</v>
      </c>
    </row>
    <row r="661" spans="1:5" x14ac:dyDescent="0.25">
      <c r="A661">
        <v>2654.9492500000001</v>
      </c>
      <c r="B661">
        <v>0.97328000000000003</v>
      </c>
      <c r="D661">
        <v>2654.9492500000001</v>
      </c>
      <c r="E661">
        <v>0.97389999999999999</v>
      </c>
    </row>
    <row r="662" spans="1:5" x14ac:dyDescent="0.25">
      <c r="A662">
        <v>2652.9085599999999</v>
      </c>
      <c r="B662">
        <v>0.97336</v>
      </c>
      <c r="D662">
        <v>2652.9085599999999</v>
      </c>
      <c r="E662">
        <v>0.97379000000000004</v>
      </c>
    </row>
    <row r="663" spans="1:5" x14ac:dyDescent="0.25">
      <c r="A663">
        <v>2650.8678599999998</v>
      </c>
      <c r="B663">
        <v>0.97343999999999997</v>
      </c>
      <c r="D663">
        <v>2650.8678599999998</v>
      </c>
      <c r="E663">
        <v>0.97387000000000001</v>
      </c>
    </row>
    <row r="664" spans="1:5" x14ac:dyDescent="0.25">
      <c r="A664">
        <v>2648.8271599999998</v>
      </c>
      <c r="B664">
        <v>0.97350999999999999</v>
      </c>
      <c r="D664">
        <v>2648.8271599999998</v>
      </c>
      <c r="E664">
        <v>0.97399000000000002</v>
      </c>
    </row>
    <row r="665" spans="1:5" x14ac:dyDescent="0.25">
      <c r="A665">
        <v>2646.7864599999998</v>
      </c>
      <c r="B665">
        <v>0.97360000000000002</v>
      </c>
      <c r="D665">
        <v>2646.7864599999998</v>
      </c>
      <c r="E665">
        <v>0.97419</v>
      </c>
    </row>
    <row r="666" spans="1:5" x14ac:dyDescent="0.25">
      <c r="A666">
        <v>2644.7457599999998</v>
      </c>
      <c r="B666">
        <v>0.97372999999999998</v>
      </c>
      <c r="D666">
        <v>2644.7457599999998</v>
      </c>
      <c r="E666">
        <v>0.97443000000000002</v>
      </c>
    </row>
    <row r="667" spans="1:5" x14ac:dyDescent="0.25">
      <c r="A667">
        <v>2642.7050599999998</v>
      </c>
      <c r="B667">
        <v>0.97389000000000003</v>
      </c>
      <c r="D667">
        <v>2642.7050599999998</v>
      </c>
      <c r="E667">
        <v>0.97452000000000005</v>
      </c>
    </row>
    <row r="668" spans="1:5" x14ac:dyDescent="0.25">
      <c r="A668">
        <v>2640.6643600000002</v>
      </c>
      <c r="B668">
        <v>0.97406999999999999</v>
      </c>
      <c r="D668">
        <v>2640.6643600000002</v>
      </c>
      <c r="E668">
        <v>0.97445999999999999</v>
      </c>
    </row>
    <row r="669" spans="1:5" x14ac:dyDescent="0.25">
      <c r="A669">
        <v>2638.6236600000002</v>
      </c>
      <c r="B669">
        <v>0.97423000000000004</v>
      </c>
      <c r="D669">
        <v>2638.6236600000002</v>
      </c>
      <c r="E669">
        <v>0.97441999999999995</v>
      </c>
    </row>
    <row r="670" spans="1:5" x14ac:dyDescent="0.25">
      <c r="A670">
        <v>2636.5829600000002</v>
      </c>
      <c r="B670">
        <v>0.97436</v>
      </c>
      <c r="D670">
        <v>2636.5829600000002</v>
      </c>
      <c r="E670">
        <v>0.97452000000000005</v>
      </c>
    </row>
    <row r="671" spans="1:5" x14ac:dyDescent="0.25">
      <c r="A671">
        <v>2634.5422699999999</v>
      </c>
      <c r="B671">
        <v>0.97448999999999997</v>
      </c>
      <c r="D671">
        <v>2634.5422699999999</v>
      </c>
      <c r="E671">
        <v>0.97484999999999999</v>
      </c>
    </row>
    <row r="672" spans="1:5" x14ac:dyDescent="0.25">
      <c r="A672">
        <v>2632.5015699999999</v>
      </c>
      <c r="B672">
        <v>0.97462000000000004</v>
      </c>
      <c r="D672">
        <v>2632.5015699999999</v>
      </c>
      <c r="E672">
        <v>0.97528000000000004</v>
      </c>
    </row>
    <row r="673" spans="1:5" x14ac:dyDescent="0.25">
      <c r="A673">
        <v>2630.4608699999999</v>
      </c>
      <c r="B673">
        <v>0.97472999999999999</v>
      </c>
      <c r="D673">
        <v>2630.4608699999999</v>
      </c>
      <c r="E673">
        <v>0.97557000000000005</v>
      </c>
    </row>
    <row r="674" spans="1:5" x14ac:dyDescent="0.25">
      <c r="A674">
        <v>2628.4201699999999</v>
      </c>
      <c r="B674">
        <v>0.97484999999999999</v>
      </c>
      <c r="D674">
        <v>2628.4201699999999</v>
      </c>
      <c r="E674">
        <v>0.97572000000000003</v>
      </c>
    </row>
    <row r="675" spans="1:5" x14ac:dyDescent="0.25">
      <c r="A675">
        <v>2626.3794699999999</v>
      </c>
      <c r="B675">
        <v>0.97497999999999996</v>
      </c>
      <c r="D675">
        <v>2626.3794699999999</v>
      </c>
      <c r="E675">
        <v>0.97572999999999999</v>
      </c>
    </row>
    <row r="676" spans="1:5" x14ac:dyDescent="0.25">
      <c r="A676">
        <v>2624.3387699999998</v>
      </c>
      <c r="B676">
        <v>0.97507999999999995</v>
      </c>
      <c r="D676">
        <v>2624.3387699999998</v>
      </c>
      <c r="E676">
        <v>0.97553999999999996</v>
      </c>
    </row>
    <row r="677" spans="1:5" x14ac:dyDescent="0.25">
      <c r="A677">
        <v>2622.2980699999998</v>
      </c>
      <c r="B677">
        <v>0.97516000000000003</v>
      </c>
      <c r="D677">
        <v>2622.2980699999998</v>
      </c>
      <c r="E677">
        <v>0.97555999999999998</v>
      </c>
    </row>
    <row r="678" spans="1:5" x14ac:dyDescent="0.25">
      <c r="A678">
        <v>2620.2573699999998</v>
      </c>
      <c r="B678">
        <v>0.97521000000000002</v>
      </c>
      <c r="D678">
        <v>2620.2573699999998</v>
      </c>
      <c r="E678">
        <v>0.97589999999999999</v>
      </c>
    </row>
    <row r="679" spans="1:5" x14ac:dyDescent="0.25">
      <c r="A679">
        <v>2618.2166699999998</v>
      </c>
      <c r="B679">
        <v>0.97523000000000004</v>
      </c>
      <c r="D679">
        <v>2618.2166699999998</v>
      </c>
      <c r="E679">
        <v>0.97607999999999995</v>
      </c>
    </row>
    <row r="680" spans="1:5" x14ac:dyDescent="0.25">
      <c r="A680">
        <v>2616.17598</v>
      </c>
      <c r="B680">
        <v>0.97526000000000002</v>
      </c>
      <c r="D680">
        <v>2616.17598</v>
      </c>
      <c r="E680">
        <v>0.97597999999999996</v>
      </c>
    </row>
    <row r="681" spans="1:5" x14ac:dyDescent="0.25">
      <c r="A681">
        <v>2614.13528</v>
      </c>
      <c r="B681">
        <v>0.97529999999999994</v>
      </c>
      <c r="D681">
        <v>2614.13528</v>
      </c>
      <c r="E681">
        <v>0.97589999999999999</v>
      </c>
    </row>
    <row r="682" spans="1:5" x14ac:dyDescent="0.25">
      <c r="A682">
        <v>2612.09458</v>
      </c>
      <c r="B682">
        <v>0.97533999999999998</v>
      </c>
      <c r="D682">
        <v>2612.09458</v>
      </c>
      <c r="E682">
        <v>0.97597</v>
      </c>
    </row>
    <row r="683" spans="1:5" x14ac:dyDescent="0.25">
      <c r="A683">
        <v>2610.0538799999999</v>
      </c>
      <c r="B683">
        <v>0.97536</v>
      </c>
      <c r="D683">
        <v>2610.0538799999999</v>
      </c>
      <c r="E683">
        <v>0.97601000000000004</v>
      </c>
    </row>
    <row r="684" spans="1:5" x14ac:dyDescent="0.25">
      <c r="A684">
        <v>2608.0131799999999</v>
      </c>
      <c r="B684">
        <v>0.97536999999999996</v>
      </c>
      <c r="D684">
        <v>2608.0131799999999</v>
      </c>
      <c r="E684">
        <v>0.97592999999999996</v>
      </c>
    </row>
    <row r="685" spans="1:5" x14ac:dyDescent="0.25">
      <c r="A685">
        <v>2605.9724799999999</v>
      </c>
      <c r="B685">
        <v>0.97536999999999996</v>
      </c>
      <c r="D685">
        <v>2605.9724799999999</v>
      </c>
      <c r="E685">
        <v>0.97592999999999996</v>
      </c>
    </row>
    <row r="686" spans="1:5" x14ac:dyDescent="0.25">
      <c r="A686">
        <v>2603.9317799999999</v>
      </c>
      <c r="B686">
        <v>0.97536999999999996</v>
      </c>
      <c r="D686">
        <v>2603.9317799999999</v>
      </c>
      <c r="E686">
        <v>0.97616000000000003</v>
      </c>
    </row>
    <row r="687" spans="1:5" x14ac:dyDescent="0.25">
      <c r="A687">
        <v>2601.8910799999999</v>
      </c>
      <c r="B687">
        <v>0.97540000000000004</v>
      </c>
      <c r="D687">
        <v>2601.8910799999999</v>
      </c>
      <c r="E687">
        <v>0.97645000000000004</v>
      </c>
    </row>
    <row r="688" spans="1:5" x14ac:dyDescent="0.25">
      <c r="A688">
        <v>2599.8503799999999</v>
      </c>
      <c r="B688">
        <v>0.97545000000000004</v>
      </c>
      <c r="D688">
        <v>2599.8503799999999</v>
      </c>
      <c r="E688">
        <v>0.97648999999999997</v>
      </c>
    </row>
    <row r="689" spans="1:5" x14ac:dyDescent="0.25">
      <c r="A689">
        <v>2597.80969</v>
      </c>
      <c r="B689">
        <v>0.97550999999999999</v>
      </c>
      <c r="D689">
        <v>2597.80969</v>
      </c>
      <c r="E689">
        <v>0.97633999999999999</v>
      </c>
    </row>
    <row r="690" spans="1:5" x14ac:dyDescent="0.25">
      <c r="A690">
        <v>2595.76899</v>
      </c>
      <c r="B690">
        <v>0.97558999999999996</v>
      </c>
      <c r="D690">
        <v>2595.76899</v>
      </c>
      <c r="E690">
        <v>0.97626999999999997</v>
      </c>
    </row>
    <row r="691" spans="1:5" x14ac:dyDescent="0.25">
      <c r="A691">
        <v>2593.72829</v>
      </c>
      <c r="B691">
        <v>0.97568999999999995</v>
      </c>
      <c r="D691">
        <v>2593.72829</v>
      </c>
      <c r="E691">
        <v>0.97643000000000002</v>
      </c>
    </row>
    <row r="692" spans="1:5" x14ac:dyDescent="0.25">
      <c r="A692">
        <v>2591.68759</v>
      </c>
      <c r="B692">
        <v>0.97577999999999998</v>
      </c>
      <c r="D692">
        <v>2591.68759</v>
      </c>
      <c r="E692">
        <v>0.97663</v>
      </c>
    </row>
    <row r="693" spans="1:5" x14ac:dyDescent="0.25">
      <c r="A693">
        <v>2589.64689</v>
      </c>
      <c r="B693">
        <v>0.97585999999999995</v>
      </c>
      <c r="D693">
        <v>2589.64689</v>
      </c>
      <c r="E693">
        <v>0.97667000000000004</v>
      </c>
    </row>
    <row r="694" spans="1:5" x14ac:dyDescent="0.25">
      <c r="A694">
        <v>2587.60619</v>
      </c>
      <c r="B694">
        <v>0.97596000000000005</v>
      </c>
      <c r="D694">
        <v>2587.60619</v>
      </c>
      <c r="E694">
        <v>0.97665000000000002</v>
      </c>
    </row>
    <row r="695" spans="1:5" x14ac:dyDescent="0.25">
      <c r="A695">
        <v>2585.56549</v>
      </c>
      <c r="B695">
        <v>0.97607999999999995</v>
      </c>
      <c r="D695">
        <v>2585.56549</v>
      </c>
      <c r="E695">
        <v>0.97668999999999995</v>
      </c>
    </row>
    <row r="696" spans="1:5" x14ac:dyDescent="0.25">
      <c r="A696">
        <v>2583.5247899999999</v>
      </c>
      <c r="B696">
        <v>0.97623000000000004</v>
      </c>
      <c r="D696">
        <v>2583.5247899999999</v>
      </c>
      <c r="E696">
        <v>0.97689999999999999</v>
      </c>
    </row>
    <row r="697" spans="1:5" x14ac:dyDescent="0.25">
      <c r="A697">
        <v>2581.4840899999999</v>
      </c>
      <c r="B697">
        <v>0.97636999999999996</v>
      </c>
      <c r="D697">
        <v>2581.4840899999999</v>
      </c>
      <c r="E697">
        <v>0.97721999999999998</v>
      </c>
    </row>
    <row r="698" spans="1:5" x14ac:dyDescent="0.25">
      <c r="A698">
        <v>2579.4434000000001</v>
      </c>
      <c r="B698">
        <v>0.97643999999999997</v>
      </c>
      <c r="D698">
        <v>2579.4434000000001</v>
      </c>
      <c r="E698">
        <v>0.97736999999999996</v>
      </c>
    </row>
    <row r="699" spans="1:5" x14ac:dyDescent="0.25">
      <c r="A699">
        <v>2577.4027000000001</v>
      </c>
      <c r="B699">
        <v>0.97648999999999997</v>
      </c>
      <c r="D699">
        <v>2577.4027000000001</v>
      </c>
      <c r="E699">
        <v>0.97728000000000004</v>
      </c>
    </row>
    <row r="700" spans="1:5" x14ac:dyDescent="0.25">
      <c r="A700">
        <v>2575.3620000000001</v>
      </c>
      <c r="B700">
        <v>0.97652000000000005</v>
      </c>
      <c r="D700">
        <v>2575.3620000000001</v>
      </c>
      <c r="E700">
        <v>0.97719</v>
      </c>
    </row>
    <row r="701" spans="1:5" x14ac:dyDescent="0.25">
      <c r="A701">
        <v>2573.3213000000001</v>
      </c>
      <c r="B701">
        <v>0.97653999999999996</v>
      </c>
      <c r="D701">
        <v>2573.3213000000001</v>
      </c>
      <c r="E701">
        <v>0.97726000000000002</v>
      </c>
    </row>
    <row r="702" spans="1:5" x14ac:dyDescent="0.25">
      <c r="A702">
        <v>2571.2806</v>
      </c>
      <c r="B702">
        <v>0.97653999999999996</v>
      </c>
      <c r="D702">
        <v>2571.2806</v>
      </c>
      <c r="E702">
        <v>0.97750999999999999</v>
      </c>
    </row>
    <row r="703" spans="1:5" x14ac:dyDescent="0.25">
      <c r="A703">
        <v>2569.2399</v>
      </c>
      <c r="B703">
        <v>0.97652000000000005</v>
      </c>
      <c r="D703">
        <v>2569.2399</v>
      </c>
      <c r="E703">
        <v>0.97767000000000004</v>
      </c>
    </row>
    <row r="704" spans="1:5" x14ac:dyDescent="0.25">
      <c r="A704">
        <v>2567.1992</v>
      </c>
      <c r="B704">
        <v>0.97648999999999997</v>
      </c>
      <c r="D704">
        <v>2567.1992</v>
      </c>
      <c r="E704">
        <v>0.97745000000000004</v>
      </c>
    </row>
    <row r="705" spans="1:5" x14ac:dyDescent="0.25">
      <c r="A705">
        <v>2565.1585</v>
      </c>
      <c r="B705">
        <v>0.97648999999999997</v>
      </c>
      <c r="D705">
        <v>2565.1585</v>
      </c>
      <c r="E705">
        <v>0.97716999999999998</v>
      </c>
    </row>
    <row r="706" spans="1:5" x14ac:dyDescent="0.25">
      <c r="A706">
        <v>2563.1178</v>
      </c>
      <c r="B706">
        <v>0.97650000000000003</v>
      </c>
      <c r="D706">
        <v>2563.1178</v>
      </c>
      <c r="E706">
        <v>0.97711999999999999</v>
      </c>
    </row>
    <row r="707" spans="1:5" x14ac:dyDescent="0.25">
      <c r="A707">
        <v>2561.0771100000002</v>
      </c>
      <c r="B707">
        <v>0.97648999999999997</v>
      </c>
      <c r="D707">
        <v>2561.0771100000002</v>
      </c>
      <c r="E707">
        <v>0.97716999999999998</v>
      </c>
    </row>
    <row r="708" spans="1:5" x14ac:dyDescent="0.25">
      <c r="A708">
        <v>2559.0364100000002</v>
      </c>
      <c r="B708">
        <v>0.97645000000000004</v>
      </c>
      <c r="D708">
        <v>2559.0364100000002</v>
      </c>
      <c r="E708">
        <v>0.97726000000000002</v>
      </c>
    </row>
    <row r="709" spans="1:5" x14ac:dyDescent="0.25">
      <c r="A709">
        <v>2556.9957100000001</v>
      </c>
      <c r="B709">
        <v>0.97638000000000003</v>
      </c>
      <c r="D709">
        <v>2556.9957100000001</v>
      </c>
      <c r="E709">
        <v>0.97740000000000005</v>
      </c>
    </row>
    <row r="710" spans="1:5" x14ac:dyDescent="0.25">
      <c r="A710">
        <v>2554.9550100000001</v>
      </c>
      <c r="B710">
        <v>0.97633000000000003</v>
      </c>
      <c r="D710">
        <v>2554.9550100000001</v>
      </c>
      <c r="E710">
        <v>0.97741999999999996</v>
      </c>
    </row>
    <row r="711" spans="1:5" x14ac:dyDescent="0.25">
      <c r="A711">
        <v>2552.9143100000001</v>
      </c>
      <c r="B711">
        <v>0.97633000000000003</v>
      </c>
      <c r="D711">
        <v>2552.9143100000001</v>
      </c>
      <c r="E711">
        <v>0.97726000000000002</v>
      </c>
    </row>
    <row r="712" spans="1:5" x14ac:dyDescent="0.25">
      <c r="A712">
        <v>2550.8736100000001</v>
      </c>
      <c r="B712">
        <v>0.97633999999999999</v>
      </c>
      <c r="D712">
        <v>2550.8736100000001</v>
      </c>
      <c r="E712">
        <v>0.97702999999999995</v>
      </c>
    </row>
    <row r="713" spans="1:5" x14ac:dyDescent="0.25">
      <c r="A713">
        <v>2548.8329100000001</v>
      </c>
      <c r="B713">
        <v>0.97636000000000001</v>
      </c>
      <c r="D713">
        <v>2548.8329100000001</v>
      </c>
      <c r="E713">
        <v>0.97687000000000002</v>
      </c>
    </row>
    <row r="714" spans="1:5" x14ac:dyDescent="0.25">
      <c r="A714">
        <v>2546.7922100000001</v>
      </c>
      <c r="B714">
        <v>0.97636999999999996</v>
      </c>
      <c r="D714">
        <v>2546.7922100000001</v>
      </c>
      <c r="E714">
        <v>0.97687000000000002</v>
      </c>
    </row>
    <row r="715" spans="1:5" x14ac:dyDescent="0.25">
      <c r="A715">
        <v>2544.7515100000001</v>
      </c>
      <c r="B715">
        <v>0.97638999999999998</v>
      </c>
      <c r="D715">
        <v>2544.7515100000001</v>
      </c>
      <c r="E715">
        <v>0.97702999999999995</v>
      </c>
    </row>
    <row r="716" spans="1:5" x14ac:dyDescent="0.25">
      <c r="A716">
        <v>2542.7108199999998</v>
      </c>
      <c r="B716">
        <v>0.97643000000000002</v>
      </c>
      <c r="D716">
        <v>2542.7108199999998</v>
      </c>
      <c r="E716">
        <v>0.97731999999999997</v>
      </c>
    </row>
    <row r="717" spans="1:5" x14ac:dyDescent="0.25">
      <c r="A717">
        <v>2540.6701200000002</v>
      </c>
      <c r="B717">
        <v>0.97645999999999999</v>
      </c>
      <c r="D717">
        <v>2540.6701200000002</v>
      </c>
      <c r="E717">
        <v>0.97745000000000004</v>
      </c>
    </row>
    <row r="718" spans="1:5" x14ac:dyDescent="0.25">
      <c r="A718">
        <v>2538.6294200000002</v>
      </c>
      <c r="B718">
        <v>0.97648999999999997</v>
      </c>
      <c r="D718">
        <v>2538.6294200000002</v>
      </c>
      <c r="E718">
        <v>0.97738000000000003</v>
      </c>
    </row>
    <row r="719" spans="1:5" x14ac:dyDescent="0.25">
      <c r="A719">
        <v>2536.5887200000002</v>
      </c>
      <c r="B719">
        <v>0.97650999999999999</v>
      </c>
      <c r="D719">
        <v>2536.5887200000002</v>
      </c>
      <c r="E719">
        <v>0.97740000000000005</v>
      </c>
    </row>
    <row r="720" spans="1:5" x14ac:dyDescent="0.25">
      <c r="A720">
        <v>2534.5480200000002</v>
      </c>
      <c r="B720">
        <v>0.97655000000000003</v>
      </c>
      <c r="D720">
        <v>2534.5480200000002</v>
      </c>
      <c r="E720">
        <v>0.97758</v>
      </c>
    </row>
    <row r="721" spans="1:5" x14ac:dyDescent="0.25">
      <c r="A721">
        <v>2532.5073200000002</v>
      </c>
      <c r="B721">
        <v>0.97658999999999996</v>
      </c>
      <c r="D721">
        <v>2532.5073200000002</v>
      </c>
      <c r="E721">
        <v>0.97768999999999995</v>
      </c>
    </row>
    <row r="722" spans="1:5" x14ac:dyDescent="0.25">
      <c r="A722">
        <v>2530.4666200000001</v>
      </c>
      <c r="B722">
        <v>0.97660999999999998</v>
      </c>
      <c r="D722">
        <v>2530.4666200000001</v>
      </c>
      <c r="E722">
        <v>0.97758999999999996</v>
      </c>
    </row>
    <row r="723" spans="1:5" x14ac:dyDescent="0.25">
      <c r="A723">
        <v>2528.4259200000001</v>
      </c>
      <c r="B723">
        <v>0.97660999999999998</v>
      </c>
      <c r="D723">
        <v>2528.4259200000001</v>
      </c>
      <c r="E723">
        <v>0.97738999999999998</v>
      </c>
    </row>
    <row r="724" spans="1:5" x14ac:dyDescent="0.25">
      <c r="A724">
        <v>2526.3852200000001</v>
      </c>
      <c r="B724">
        <v>0.97660000000000002</v>
      </c>
      <c r="D724">
        <v>2526.3852200000001</v>
      </c>
      <c r="E724">
        <v>0.97716999999999998</v>
      </c>
    </row>
    <row r="725" spans="1:5" x14ac:dyDescent="0.25">
      <c r="A725">
        <v>2524.3445299999998</v>
      </c>
      <c r="B725">
        <v>0.97658999999999996</v>
      </c>
      <c r="D725">
        <v>2524.3445299999998</v>
      </c>
      <c r="E725">
        <v>0.97706000000000004</v>
      </c>
    </row>
    <row r="726" spans="1:5" x14ac:dyDescent="0.25">
      <c r="A726">
        <v>2522.3038299999998</v>
      </c>
      <c r="B726">
        <v>0.97660000000000002</v>
      </c>
      <c r="D726">
        <v>2522.3038299999998</v>
      </c>
      <c r="E726">
        <v>0.97718000000000005</v>
      </c>
    </row>
    <row r="727" spans="1:5" x14ac:dyDescent="0.25">
      <c r="A727">
        <v>2520.2631299999998</v>
      </c>
      <c r="B727">
        <v>0.97663</v>
      </c>
      <c r="D727">
        <v>2520.2631299999998</v>
      </c>
      <c r="E727">
        <v>0.97731999999999997</v>
      </c>
    </row>
    <row r="728" spans="1:5" x14ac:dyDescent="0.25">
      <c r="A728">
        <v>2518.2224299999998</v>
      </c>
      <c r="B728">
        <v>0.97665000000000002</v>
      </c>
      <c r="D728">
        <v>2518.2224299999998</v>
      </c>
      <c r="E728">
        <v>0.97733999999999999</v>
      </c>
    </row>
    <row r="729" spans="1:5" x14ac:dyDescent="0.25">
      <c r="A729">
        <v>2516.1817299999998</v>
      </c>
      <c r="B729">
        <v>0.97667999999999999</v>
      </c>
      <c r="D729">
        <v>2516.1817299999998</v>
      </c>
      <c r="E729">
        <v>0.97733000000000003</v>
      </c>
    </row>
    <row r="730" spans="1:5" x14ac:dyDescent="0.25">
      <c r="A730">
        <v>2514.1410299999998</v>
      </c>
      <c r="B730">
        <v>0.97668999999999995</v>
      </c>
      <c r="D730">
        <v>2514.1410299999998</v>
      </c>
      <c r="E730">
        <v>0.97716000000000003</v>
      </c>
    </row>
    <row r="731" spans="1:5" x14ac:dyDescent="0.25">
      <c r="A731">
        <v>2512.1003300000002</v>
      </c>
      <c r="B731">
        <v>0.97667999999999999</v>
      </c>
      <c r="D731">
        <v>2512.1003300000002</v>
      </c>
      <c r="E731">
        <v>0.97696000000000005</v>
      </c>
    </row>
    <row r="732" spans="1:5" x14ac:dyDescent="0.25">
      <c r="A732">
        <v>2510.0596300000002</v>
      </c>
      <c r="B732">
        <v>0.97665000000000002</v>
      </c>
      <c r="D732">
        <v>2510.0596300000002</v>
      </c>
      <c r="E732">
        <v>0.97702999999999995</v>
      </c>
    </row>
    <row r="733" spans="1:5" x14ac:dyDescent="0.25">
      <c r="A733">
        <v>2508.0189300000002</v>
      </c>
      <c r="B733">
        <v>0.97660000000000002</v>
      </c>
      <c r="D733">
        <v>2508.0189300000002</v>
      </c>
      <c r="E733">
        <v>0.97724</v>
      </c>
    </row>
    <row r="734" spans="1:5" x14ac:dyDescent="0.25">
      <c r="A734">
        <v>2505.9782399999999</v>
      </c>
      <c r="B734">
        <v>0.97655000000000003</v>
      </c>
      <c r="D734">
        <v>2505.9782399999999</v>
      </c>
      <c r="E734">
        <v>0.97729999999999995</v>
      </c>
    </row>
    <row r="735" spans="1:5" x14ac:dyDescent="0.25">
      <c r="A735">
        <v>2503.9375399999999</v>
      </c>
      <c r="B735">
        <v>0.97652000000000005</v>
      </c>
      <c r="D735">
        <v>2503.9375399999999</v>
      </c>
      <c r="E735">
        <v>0.97716999999999998</v>
      </c>
    </row>
    <row r="736" spans="1:5" x14ac:dyDescent="0.25">
      <c r="A736">
        <v>2501.8968399999999</v>
      </c>
      <c r="B736">
        <v>0.97653000000000001</v>
      </c>
      <c r="D736">
        <v>2501.8968399999999</v>
      </c>
      <c r="E736">
        <v>0.97707999999999995</v>
      </c>
    </row>
    <row r="737" spans="1:5" x14ac:dyDescent="0.25">
      <c r="A737">
        <v>2499.8561399999999</v>
      </c>
      <c r="B737">
        <v>0.97653999999999996</v>
      </c>
      <c r="D737">
        <v>2499.8561399999999</v>
      </c>
      <c r="E737">
        <v>0.97716000000000003</v>
      </c>
    </row>
    <row r="738" spans="1:5" x14ac:dyDescent="0.25">
      <c r="A738">
        <v>2497.8154399999999</v>
      </c>
      <c r="B738">
        <v>0.97658999999999996</v>
      </c>
      <c r="D738">
        <v>2497.8154399999999</v>
      </c>
      <c r="E738">
        <v>0.97731000000000001</v>
      </c>
    </row>
    <row r="739" spans="1:5" x14ac:dyDescent="0.25">
      <c r="A739">
        <v>2495.7747399999998</v>
      </c>
      <c r="B739">
        <v>0.97663999999999995</v>
      </c>
      <c r="D739">
        <v>2495.7747399999998</v>
      </c>
      <c r="E739">
        <v>0.97738999999999998</v>
      </c>
    </row>
    <row r="740" spans="1:5" x14ac:dyDescent="0.25">
      <c r="A740">
        <v>2493.7340399999998</v>
      </c>
      <c r="B740">
        <v>0.97668999999999995</v>
      </c>
      <c r="D740">
        <v>2493.7340399999998</v>
      </c>
      <c r="E740">
        <v>0.97743000000000002</v>
      </c>
    </row>
    <row r="741" spans="1:5" x14ac:dyDescent="0.25">
      <c r="A741">
        <v>2491.6933399999998</v>
      </c>
      <c r="B741">
        <v>0.97672999999999999</v>
      </c>
      <c r="D741">
        <v>2491.6933399999998</v>
      </c>
      <c r="E741">
        <v>0.97748999999999997</v>
      </c>
    </row>
    <row r="742" spans="1:5" x14ac:dyDescent="0.25">
      <c r="A742">
        <v>2489.6526399999998</v>
      </c>
      <c r="B742">
        <v>0.97675999999999996</v>
      </c>
      <c r="D742">
        <v>2489.6526399999998</v>
      </c>
      <c r="E742">
        <v>0.97741999999999996</v>
      </c>
    </row>
    <row r="743" spans="1:5" x14ac:dyDescent="0.25">
      <c r="A743">
        <v>2487.61195</v>
      </c>
      <c r="B743">
        <v>0.97679000000000005</v>
      </c>
      <c r="D743">
        <v>2487.61195</v>
      </c>
      <c r="E743">
        <v>0.97711999999999999</v>
      </c>
    </row>
    <row r="744" spans="1:5" x14ac:dyDescent="0.25">
      <c r="A744">
        <v>2485.57125</v>
      </c>
      <c r="B744">
        <v>0.97679000000000005</v>
      </c>
      <c r="D744">
        <v>2485.57125</v>
      </c>
      <c r="E744">
        <v>0.97696000000000005</v>
      </c>
    </row>
    <row r="745" spans="1:5" x14ac:dyDescent="0.25">
      <c r="A745">
        <v>2483.5305499999999</v>
      </c>
      <c r="B745">
        <v>0.97677999999999998</v>
      </c>
      <c r="D745">
        <v>2483.5305499999999</v>
      </c>
      <c r="E745">
        <v>0.97711999999999999</v>
      </c>
    </row>
    <row r="746" spans="1:5" x14ac:dyDescent="0.25">
      <c r="A746">
        <v>2481.4898499999999</v>
      </c>
      <c r="B746">
        <v>0.97674000000000005</v>
      </c>
      <c r="D746">
        <v>2481.4898499999999</v>
      </c>
      <c r="E746">
        <v>0.97726000000000002</v>
      </c>
    </row>
    <row r="747" spans="1:5" x14ac:dyDescent="0.25">
      <c r="A747">
        <v>2479.4491499999999</v>
      </c>
      <c r="B747">
        <v>0.97670000000000001</v>
      </c>
      <c r="D747">
        <v>2479.4491499999999</v>
      </c>
      <c r="E747">
        <v>0.97731000000000001</v>
      </c>
    </row>
    <row r="748" spans="1:5" x14ac:dyDescent="0.25">
      <c r="A748">
        <v>2477.4084499999999</v>
      </c>
      <c r="B748">
        <v>0.97665000000000002</v>
      </c>
      <c r="D748">
        <v>2477.4084499999999</v>
      </c>
      <c r="E748">
        <v>0.97731000000000001</v>
      </c>
    </row>
    <row r="749" spans="1:5" x14ac:dyDescent="0.25">
      <c r="A749">
        <v>2475.3677499999999</v>
      </c>
      <c r="B749">
        <v>0.97657000000000005</v>
      </c>
      <c r="D749">
        <v>2475.3677499999999</v>
      </c>
      <c r="E749">
        <v>0.97721000000000002</v>
      </c>
    </row>
    <row r="750" spans="1:5" x14ac:dyDescent="0.25">
      <c r="A750">
        <v>2473.3270499999999</v>
      </c>
      <c r="B750">
        <v>0.97648999999999997</v>
      </c>
      <c r="D750">
        <v>2473.3270499999999</v>
      </c>
      <c r="E750">
        <v>0.97724999999999995</v>
      </c>
    </row>
    <row r="751" spans="1:5" x14ac:dyDescent="0.25">
      <c r="A751">
        <v>2471.2863499999999</v>
      </c>
      <c r="B751">
        <v>0.97640000000000005</v>
      </c>
      <c r="D751">
        <v>2471.2863499999999</v>
      </c>
      <c r="E751">
        <v>0.97740000000000005</v>
      </c>
    </row>
    <row r="752" spans="1:5" x14ac:dyDescent="0.25">
      <c r="A752">
        <v>2469.24566</v>
      </c>
      <c r="B752">
        <v>0.97633000000000003</v>
      </c>
      <c r="D752">
        <v>2469.24566</v>
      </c>
      <c r="E752">
        <v>0.97731000000000001</v>
      </c>
    </row>
    <row r="753" spans="1:5" x14ac:dyDescent="0.25">
      <c r="A753">
        <v>2467.20496</v>
      </c>
      <c r="B753">
        <v>0.97628000000000004</v>
      </c>
      <c r="D753">
        <v>2467.20496</v>
      </c>
      <c r="E753">
        <v>0.97713000000000005</v>
      </c>
    </row>
    <row r="754" spans="1:5" x14ac:dyDescent="0.25">
      <c r="A754">
        <v>2465.16426</v>
      </c>
      <c r="B754">
        <v>0.97623000000000004</v>
      </c>
      <c r="D754">
        <v>2465.16426</v>
      </c>
      <c r="E754">
        <v>0.97701000000000005</v>
      </c>
    </row>
    <row r="755" spans="1:5" x14ac:dyDescent="0.25">
      <c r="A755">
        <v>2463.12356</v>
      </c>
      <c r="B755">
        <v>0.97619</v>
      </c>
      <c r="D755">
        <v>2463.12356</v>
      </c>
      <c r="E755">
        <v>0.97696000000000005</v>
      </c>
    </row>
    <row r="756" spans="1:5" x14ac:dyDescent="0.25">
      <c r="A756">
        <v>2461.08286</v>
      </c>
      <c r="B756">
        <v>0.97614999999999996</v>
      </c>
      <c r="D756">
        <v>2461.08286</v>
      </c>
      <c r="E756">
        <v>0.97692999999999997</v>
      </c>
    </row>
    <row r="757" spans="1:5" x14ac:dyDescent="0.25">
      <c r="A757">
        <v>2459.04216</v>
      </c>
      <c r="B757">
        <v>0.97613000000000005</v>
      </c>
      <c r="D757">
        <v>2459.04216</v>
      </c>
      <c r="E757">
        <v>0.97692999999999997</v>
      </c>
    </row>
    <row r="758" spans="1:5" x14ac:dyDescent="0.25">
      <c r="A758">
        <v>2457.00146</v>
      </c>
      <c r="B758">
        <v>0.97614000000000001</v>
      </c>
      <c r="D758">
        <v>2457.00146</v>
      </c>
      <c r="E758">
        <v>0.97702</v>
      </c>
    </row>
    <row r="759" spans="1:5" x14ac:dyDescent="0.25">
      <c r="A759">
        <v>2454.9607599999999</v>
      </c>
      <c r="B759">
        <v>0.97616999999999998</v>
      </c>
      <c r="D759">
        <v>2454.9607599999999</v>
      </c>
      <c r="E759">
        <v>0.97701000000000005</v>
      </c>
    </row>
    <row r="760" spans="1:5" x14ac:dyDescent="0.25">
      <c r="A760">
        <v>2452.9200599999999</v>
      </c>
      <c r="B760">
        <v>0.97623000000000004</v>
      </c>
      <c r="D760">
        <v>2452.9200599999999</v>
      </c>
      <c r="E760">
        <v>0.97689999999999999</v>
      </c>
    </row>
    <row r="761" spans="1:5" x14ac:dyDescent="0.25">
      <c r="A761">
        <v>2450.8793700000001</v>
      </c>
      <c r="B761">
        <v>0.97628000000000004</v>
      </c>
      <c r="D761">
        <v>2450.8793700000001</v>
      </c>
      <c r="E761">
        <v>0.97687999999999997</v>
      </c>
    </row>
    <row r="762" spans="1:5" x14ac:dyDescent="0.25">
      <c r="A762">
        <v>2448.8386700000001</v>
      </c>
      <c r="B762">
        <v>0.97633000000000003</v>
      </c>
      <c r="D762">
        <v>2448.8386700000001</v>
      </c>
      <c r="E762">
        <v>0.97685999999999995</v>
      </c>
    </row>
    <row r="763" spans="1:5" x14ac:dyDescent="0.25">
      <c r="A763">
        <v>2446.7979700000001</v>
      </c>
      <c r="B763">
        <v>0.97638000000000003</v>
      </c>
      <c r="D763">
        <v>2446.7979700000001</v>
      </c>
      <c r="E763">
        <v>0.97694999999999999</v>
      </c>
    </row>
    <row r="764" spans="1:5" x14ac:dyDescent="0.25">
      <c r="A764">
        <v>2444.7572700000001</v>
      </c>
      <c r="B764">
        <v>0.97641</v>
      </c>
      <c r="D764">
        <v>2444.7572700000001</v>
      </c>
      <c r="E764">
        <v>0.97714000000000001</v>
      </c>
    </row>
    <row r="765" spans="1:5" x14ac:dyDescent="0.25">
      <c r="A765">
        <v>2442.71657</v>
      </c>
      <c r="B765">
        <v>0.97641999999999995</v>
      </c>
      <c r="D765">
        <v>2442.71657</v>
      </c>
      <c r="E765">
        <v>0.97713000000000005</v>
      </c>
    </row>
    <row r="766" spans="1:5" x14ac:dyDescent="0.25">
      <c r="A766">
        <v>2440.67587</v>
      </c>
      <c r="B766">
        <v>0.97640000000000005</v>
      </c>
      <c r="D766">
        <v>2440.67587</v>
      </c>
      <c r="E766">
        <v>0.97699000000000003</v>
      </c>
    </row>
    <row r="767" spans="1:5" x14ac:dyDescent="0.25">
      <c r="A767">
        <v>2438.63517</v>
      </c>
      <c r="B767">
        <v>0.97636999999999996</v>
      </c>
      <c r="D767">
        <v>2438.63517</v>
      </c>
      <c r="E767">
        <v>0.97687999999999997</v>
      </c>
    </row>
    <row r="768" spans="1:5" x14ac:dyDescent="0.25">
      <c r="A768">
        <v>2436.59447</v>
      </c>
      <c r="B768">
        <v>0.97633999999999999</v>
      </c>
      <c r="D768">
        <v>2436.59447</v>
      </c>
      <c r="E768">
        <v>0.97677000000000003</v>
      </c>
    </row>
    <row r="769" spans="1:5" x14ac:dyDescent="0.25">
      <c r="A769">
        <v>2434.55377</v>
      </c>
      <c r="B769">
        <v>0.97628000000000004</v>
      </c>
      <c r="D769">
        <v>2434.55377</v>
      </c>
      <c r="E769">
        <v>0.9768</v>
      </c>
    </row>
    <row r="770" spans="1:5" x14ac:dyDescent="0.25">
      <c r="A770">
        <v>2432.5130800000002</v>
      </c>
      <c r="B770">
        <v>0.97619999999999996</v>
      </c>
      <c r="D770">
        <v>2432.5130800000002</v>
      </c>
      <c r="E770">
        <v>0.97697999999999996</v>
      </c>
    </row>
    <row r="771" spans="1:5" x14ac:dyDescent="0.25">
      <c r="A771">
        <v>2430.4723800000002</v>
      </c>
      <c r="B771">
        <v>0.97614000000000001</v>
      </c>
      <c r="D771">
        <v>2430.4723800000002</v>
      </c>
      <c r="E771">
        <v>0.97702999999999995</v>
      </c>
    </row>
    <row r="772" spans="1:5" x14ac:dyDescent="0.25">
      <c r="A772">
        <v>2428.4316800000001</v>
      </c>
      <c r="B772">
        <v>0.97609000000000001</v>
      </c>
      <c r="D772">
        <v>2428.4316800000001</v>
      </c>
      <c r="E772">
        <v>0.97682000000000002</v>
      </c>
    </row>
    <row r="773" spans="1:5" x14ac:dyDescent="0.25">
      <c r="A773">
        <v>2426.3909800000001</v>
      </c>
      <c r="B773">
        <v>0.97602999999999995</v>
      </c>
      <c r="D773">
        <v>2426.3909800000001</v>
      </c>
      <c r="E773">
        <v>0.97652000000000005</v>
      </c>
    </row>
    <row r="774" spans="1:5" x14ac:dyDescent="0.25">
      <c r="A774">
        <v>2424.3502800000001</v>
      </c>
      <c r="B774">
        <v>0.97597</v>
      </c>
      <c r="D774">
        <v>2424.3502800000001</v>
      </c>
      <c r="E774">
        <v>0.97636999999999996</v>
      </c>
    </row>
    <row r="775" spans="1:5" x14ac:dyDescent="0.25">
      <c r="A775">
        <v>2422.3095800000001</v>
      </c>
      <c r="B775">
        <v>0.97592000000000001</v>
      </c>
      <c r="D775">
        <v>2422.3095800000001</v>
      </c>
      <c r="E775">
        <v>0.97633999999999999</v>
      </c>
    </row>
    <row r="776" spans="1:5" x14ac:dyDescent="0.25">
      <c r="A776">
        <v>2420.2688800000001</v>
      </c>
      <c r="B776">
        <v>0.97587000000000002</v>
      </c>
      <c r="D776">
        <v>2420.2688800000001</v>
      </c>
      <c r="E776">
        <v>0.97619999999999996</v>
      </c>
    </row>
    <row r="777" spans="1:5" x14ac:dyDescent="0.25">
      <c r="A777">
        <v>2418.2281800000001</v>
      </c>
      <c r="B777">
        <v>0.97580999999999996</v>
      </c>
      <c r="D777">
        <v>2418.2281800000001</v>
      </c>
      <c r="E777">
        <v>0.97606000000000004</v>
      </c>
    </row>
    <row r="778" spans="1:5" x14ac:dyDescent="0.25">
      <c r="A778">
        <v>2416.1874800000001</v>
      </c>
      <c r="B778">
        <v>0.97577000000000003</v>
      </c>
      <c r="D778">
        <v>2416.1874800000001</v>
      </c>
      <c r="E778">
        <v>0.97609999999999997</v>
      </c>
    </row>
    <row r="779" spans="1:5" x14ac:dyDescent="0.25">
      <c r="A779">
        <v>2414.1467899999998</v>
      </c>
      <c r="B779">
        <v>0.97572999999999999</v>
      </c>
      <c r="D779">
        <v>2414.1467899999998</v>
      </c>
      <c r="E779">
        <v>0.97619999999999996</v>
      </c>
    </row>
    <row r="780" spans="1:5" x14ac:dyDescent="0.25">
      <c r="A780">
        <v>2412.1060900000002</v>
      </c>
      <c r="B780">
        <v>0.97570000000000001</v>
      </c>
      <c r="D780">
        <v>2412.1060900000002</v>
      </c>
      <c r="E780">
        <v>0.97633000000000003</v>
      </c>
    </row>
    <row r="781" spans="1:5" x14ac:dyDescent="0.25">
      <c r="A781">
        <v>2410.0653900000002</v>
      </c>
      <c r="B781">
        <v>0.97565999999999997</v>
      </c>
      <c r="D781">
        <v>2410.0653900000002</v>
      </c>
      <c r="E781">
        <v>0.97643000000000002</v>
      </c>
    </row>
    <row r="782" spans="1:5" x14ac:dyDescent="0.25">
      <c r="A782">
        <v>2408.0246900000002</v>
      </c>
      <c r="B782">
        <v>0.97563</v>
      </c>
      <c r="D782">
        <v>2408.0246900000002</v>
      </c>
      <c r="E782">
        <v>0.97628000000000004</v>
      </c>
    </row>
    <row r="783" spans="1:5" x14ac:dyDescent="0.25">
      <c r="A783">
        <v>2405.9839900000002</v>
      </c>
      <c r="B783">
        <v>0.97560000000000002</v>
      </c>
      <c r="D783">
        <v>2405.9839900000002</v>
      </c>
      <c r="E783">
        <v>0.97607999999999995</v>
      </c>
    </row>
    <row r="784" spans="1:5" x14ac:dyDescent="0.25">
      <c r="A784">
        <v>2403.9432900000002</v>
      </c>
      <c r="B784">
        <v>0.97560999999999998</v>
      </c>
      <c r="D784">
        <v>2403.9432900000002</v>
      </c>
      <c r="E784">
        <v>0.97611999999999999</v>
      </c>
    </row>
    <row r="785" spans="1:5" x14ac:dyDescent="0.25">
      <c r="A785">
        <v>2401.9025900000001</v>
      </c>
      <c r="B785">
        <v>0.97567000000000004</v>
      </c>
      <c r="D785">
        <v>2401.9025900000001</v>
      </c>
      <c r="E785">
        <v>0.97619</v>
      </c>
    </row>
    <row r="786" spans="1:5" x14ac:dyDescent="0.25">
      <c r="A786">
        <v>2399.8618900000001</v>
      </c>
      <c r="B786">
        <v>0.97574000000000005</v>
      </c>
      <c r="D786">
        <v>2399.8618900000001</v>
      </c>
      <c r="E786">
        <v>0.97596000000000005</v>
      </c>
    </row>
    <row r="787" spans="1:5" x14ac:dyDescent="0.25">
      <c r="A787">
        <v>2397.8211900000001</v>
      </c>
      <c r="B787">
        <v>0.9758</v>
      </c>
      <c r="D787">
        <v>2397.8211900000001</v>
      </c>
      <c r="E787">
        <v>0.97594999999999998</v>
      </c>
    </row>
    <row r="788" spans="1:5" x14ac:dyDescent="0.25">
      <c r="A788">
        <v>2395.7804999999998</v>
      </c>
      <c r="B788">
        <v>0.97572999999999999</v>
      </c>
      <c r="D788">
        <v>2395.7804999999998</v>
      </c>
      <c r="E788">
        <v>0.97604999999999997</v>
      </c>
    </row>
    <row r="789" spans="1:5" x14ac:dyDescent="0.25">
      <c r="A789">
        <v>2393.7397999999998</v>
      </c>
      <c r="B789">
        <v>0.97541</v>
      </c>
      <c r="D789">
        <v>2393.7397999999998</v>
      </c>
      <c r="E789">
        <v>0.97609000000000001</v>
      </c>
    </row>
    <row r="790" spans="1:5" x14ac:dyDescent="0.25">
      <c r="A790">
        <v>2391.6990999999998</v>
      </c>
      <c r="B790">
        <v>0.97474000000000005</v>
      </c>
      <c r="D790">
        <v>2391.6990999999998</v>
      </c>
      <c r="E790">
        <v>0.97594999999999998</v>
      </c>
    </row>
    <row r="791" spans="1:5" x14ac:dyDescent="0.25">
      <c r="A791">
        <v>2389.6583999999998</v>
      </c>
      <c r="B791">
        <v>0.97367999999999999</v>
      </c>
      <c r="D791">
        <v>2389.6583999999998</v>
      </c>
      <c r="E791">
        <v>0.97555999999999998</v>
      </c>
    </row>
    <row r="792" spans="1:5" x14ac:dyDescent="0.25">
      <c r="A792">
        <v>2387.6176999999998</v>
      </c>
      <c r="B792">
        <v>0.97223999999999999</v>
      </c>
      <c r="D792">
        <v>2387.6176999999998</v>
      </c>
      <c r="E792">
        <v>0.97474000000000005</v>
      </c>
    </row>
    <row r="793" spans="1:5" x14ac:dyDescent="0.25">
      <c r="A793">
        <v>2385.5770000000002</v>
      </c>
      <c r="B793">
        <v>0.97057000000000004</v>
      </c>
      <c r="D793">
        <v>2385.5770000000002</v>
      </c>
      <c r="E793">
        <v>0.97330000000000005</v>
      </c>
    </row>
    <row r="794" spans="1:5" x14ac:dyDescent="0.25">
      <c r="A794">
        <v>2383.5363000000002</v>
      </c>
      <c r="B794">
        <v>0.96887000000000001</v>
      </c>
      <c r="D794">
        <v>2383.5363000000002</v>
      </c>
      <c r="E794">
        <v>0.97126000000000001</v>
      </c>
    </row>
    <row r="795" spans="1:5" x14ac:dyDescent="0.25">
      <c r="A795">
        <v>2381.4956000000002</v>
      </c>
      <c r="B795">
        <v>0.96733000000000002</v>
      </c>
      <c r="D795">
        <v>2381.4956000000002</v>
      </c>
      <c r="E795">
        <v>0.96872999999999998</v>
      </c>
    </row>
    <row r="796" spans="1:5" x14ac:dyDescent="0.25">
      <c r="A796">
        <v>2379.4549000000002</v>
      </c>
      <c r="B796">
        <v>0.96618000000000004</v>
      </c>
      <c r="D796">
        <v>2379.4549000000002</v>
      </c>
      <c r="E796">
        <v>0.96618000000000004</v>
      </c>
    </row>
    <row r="797" spans="1:5" x14ac:dyDescent="0.25">
      <c r="A797">
        <v>2377.4142099999999</v>
      </c>
      <c r="B797">
        <v>0.96565999999999996</v>
      </c>
      <c r="D797">
        <v>2377.4142099999999</v>
      </c>
      <c r="E797">
        <v>0.96447000000000005</v>
      </c>
    </row>
    <row r="798" spans="1:5" x14ac:dyDescent="0.25">
      <c r="A798">
        <v>2375.3735099999999</v>
      </c>
      <c r="B798">
        <v>0.96591000000000005</v>
      </c>
      <c r="D798">
        <v>2375.3735099999999</v>
      </c>
      <c r="E798">
        <v>0.96414</v>
      </c>
    </row>
    <row r="799" spans="1:5" x14ac:dyDescent="0.25">
      <c r="A799">
        <v>2373.3328099999999</v>
      </c>
      <c r="B799">
        <v>0.96692999999999996</v>
      </c>
      <c r="D799">
        <v>2373.3328099999999</v>
      </c>
      <c r="E799">
        <v>0.96531</v>
      </c>
    </row>
    <row r="800" spans="1:5" x14ac:dyDescent="0.25">
      <c r="A800">
        <v>2371.2921099999999</v>
      </c>
      <c r="B800">
        <v>0.96865999999999997</v>
      </c>
      <c r="D800">
        <v>2371.2921099999999</v>
      </c>
      <c r="E800">
        <v>0.96769000000000005</v>
      </c>
    </row>
    <row r="801" spans="1:5" x14ac:dyDescent="0.25">
      <c r="A801">
        <v>2369.2514099999999</v>
      </c>
      <c r="B801">
        <v>0.97092000000000001</v>
      </c>
      <c r="D801">
        <v>2369.2514099999999</v>
      </c>
      <c r="E801">
        <v>0.97062999999999999</v>
      </c>
    </row>
    <row r="802" spans="1:5" x14ac:dyDescent="0.25">
      <c r="A802">
        <v>2367.2107099999998</v>
      </c>
      <c r="B802">
        <v>0.97350000000000003</v>
      </c>
      <c r="D802">
        <v>2367.2107099999998</v>
      </c>
      <c r="E802">
        <v>0.97413000000000005</v>
      </c>
    </row>
    <row r="803" spans="1:5" x14ac:dyDescent="0.25">
      <c r="A803">
        <v>2365.1700099999998</v>
      </c>
      <c r="B803">
        <v>0.97629999999999995</v>
      </c>
      <c r="D803">
        <v>2365.1700099999998</v>
      </c>
      <c r="E803">
        <v>0.97796000000000005</v>
      </c>
    </row>
    <row r="804" spans="1:5" x14ac:dyDescent="0.25">
      <c r="A804">
        <v>2363.1293099999998</v>
      </c>
      <c r="B804">
        <v>0.97901000000000005</v>
      </c>
      <c r="D804">
        <v>2363.1293099999998</v>
      </c>
      <c r="E804">
        <v>0.98092999999999997</v>
      </c>
    </row>
    <row r="805" spans="1:5" x14ac:dyDescent="0.25">
      <c r="A805">
        <v>2361.0886099999998</v>
      </c>
      <c r="B805">
        <v>0.98097999999999996</v>
      </c>
      <c r="D805">
        <v>2361.0886099999998</v>
      </c>
      <c r="E805">
        <v>0.98241999999999996</v>
      </c>
    </row>
    <row r="806" spans="1:5" x14ac:dyDescent="0.25">
      <c r="A806">
        <v>2359.04792</v>
      </c>
      <c r="B806">
        <v>0.98170999999999997</v>
      </c>
      <c r="D806">
        <v>2359.04792</v>
      </c>
      <c r="E806">
        <v>0.98285999999999996</v>
      </c>
    </row>
    <row r="807" spans="1:5" x14ac:dyDescent="0.25">
      <c r="A807">
        <v>2357.00722</v>
      </c>
      <c r="B807">
        <v>0.98138999999999998</v>
      </c>
      <c r="D807">
        <v>2357.00722</v>
      </c>
      <c r="E807">
        <v>0.98282000000000003</v>
      </c>
    </row>
    <row r="808" spans="1:5" x14ac:dyDescent="0.25">
      <c r="A808">
        <v>2354.9665199999999</v>
      </c>
      <c r="B808">
        <v>0.98048000000000002</v>
      </c>
      <c r="D808">
        <v>2354.9665199999999</v>
      </c>
      <c r="E808">
        <v>0.98216000000000003</v>
      </c>
    </row>
    <row r="809" spans="1:5" x14ac:dyDescent="0.25">
      <c r="A809">
        <v>2352.9258199999999</v>
      </c>
      <c r="B809">
        <v>0.97941</v>
      </c>
      <c r="D809">
        <v>2352.9258199999999</v>
      </c>
      <c r="E809">
        <v>0.98111000000000004</v>
      </c>
    </row>
    <row r="810" spans="1:5" x14ac:dyDescent="0.25">
      <c r="A810">
        <v>2350.8851199999999</v>
      </c>
      <c r="B810">
        <v>0.97843999999999998</v>
      </c>
      <c r="D810">
        <v>2350.8851199999999</v>
      </c>
      <c r="E810">
        <v>0.97994999999999999</v>
      </c>
    </row>
    <row r="811" spans="1:5" x14ac:dyDescent="0.25">
      <c r="A811">
        <v>2348.8444199999999</v>
      </c>
      <c r="B811">
        <v>0.97772000000000003</v>
      </c>
      <c r="D811">
        <v>2348.8444199999999</v>
      </c>
      <c r="E811">
        <v>0.97690999999999995</v>
      </c>
    </row>
    <row r="812" spans="1:5" x14ac:dyDescent="0.25">
      <c r="A812">
        <v>2346.8037199999999</v>
      </c>
      <c r="B812">
        <v>0.97728000000000004</v>
      </c>
      <c r="D812">
        <v>2346.8037199999999</v>
      </c>
      <c r="E812">
        <v>0.97245000000000004</v>
      </c>
    </row>
    <row r="813" spans="1:5" x14ac:dyDescent="0.25">
      <c r="A813">
        <v>2344.7630199999999</v>
      </c>
      <c r="B813">
        <v>0.97709000000000001</v>
      </c>
      <c r="D813">
        <v>2344.7630199999999</v>
      </c>
      <c r="E813">
        <v>0.97138999999999998</v>
      </c>
    </row>
    <row r="814" spans="1:5" x14ac:dyDescent="0.25">
      <c r="A814">
        <v>2342.7223199999999</v>
      </c>
      <c r="B814">
        <v>0.97707999999999995</v>
      </c>
      <c r="D814">
        <v>2342.7223199999999</v>
      </c>
      <c r="E814">
        <v>0.97541</v>
      </c>
    </row>
    <row r="815" spans="1:5" x14ac:dyDescent="0.25">
      <c r="A815">
        <v>2340.68163</v>
      </c>
      <c r="B815">
        <v>0.97719999999999996</v>
      </c>
      <c r="D815">
        <v>2340.68163</v>
      </c>
      <c r="E815">
        <v>0.97982000000000002</v>
      </c>
    </row>
    <row r="816" spans="1:5" x14ac:dyDescent="0.25">
      <c r="A816">
        <v>2338.64093</v>
      </c>
      <c r="B816">
        <v>0.97733999999999999</v>
      </c>
      <c r="D816">
        <v>2338.64093</v>
      </c>
      <c r="E816">
        <v>0.98177999999999999</v>
      </c>
    </row>
    <row r="817" spans="1:5" x14ac:dyDescent="0.25">
      <c r="A817">
        <v>2336.60023</v>
      </c>
      <c r="B817">
        <v>0.97738999999999998</v>
      </c>
      <c r="D817">
        <v>2336.60023</v>
      </c>
      <c r="E817">
        <v>0.98172000000000004</v>
      </c>
    </row>
    <row r="818" spans="1:5" x14ac:dyDescent="0.25">
      <c r="A818">
        <v>2334.55953</v>
      </c>
      <c r="B818">
        <v>0.97728000000000004</v>
      </c>
      <c r="D818">
        <v>2334.55953</v>
      </c>
      <c r="E818">
        <v>0.98036000000000001</v>
      </c>
    </row>
    <row r="819" spans="1:5" x14ac:dyDescent="0.25">
      <c r="A819">
        <v>2332.51883</v>
      </c>
      <c r="B819">
        <v>0.97701000000000005</v>
      </c>
      <c r="D819">
        <v>2332.51883</v>
      </c>
      <c r="E819">
        <v>0.97797999999999996</v>
      </c>
    </row>
    <row r="820" spans="1:5" x14ac:dyDescent="0.25">
      <c r="A820">
        <v>2330.47813</v>
      </c>
      <c r="B820">
        <v>0.97635000000000005</v>
      </c>
      <c r="D820">
        <v>2330.47813</v>
      </c>
      <c r="E820">
        <v>0.97538000000000002</v>
      </c>
    </row>
    <row r="821" spans="1:5" x14ac:dyDescent="0.25">
      <c r="A821">
        <v>2328.4374299999999</v>
      </c>
      <c r="B821">
        <v>0.97494999999999998</v>
      </c>
      <c r="D821">
        <v>2328.4374299999999</v>
      </c>
      <c r="E821">
        <v>0.97352000000000005</v>
      </c>
    </row>
    <row r="822" spans="1:5" x14ac:dyDescent="0.25">
      <c r="A822">
        <v>2326.3967299999999</v>
      </c>
      <c r="B822">
        <v>0.97294000000000003</v>
      </c>
      <c r="D822">
        <v>2326.3967299999999</v>
      </c>
      <c r="E822">
        <v>0.97216999999999998</v>
      </c>
    </row>
    <row r="823" spans="1:5" x14ac:dyDescent="0.25">
      <c r="A823">
        <v>2324.3560299999999</v>
      </c>
      <c r="B823">
        <v>0.97085999999999995</v>
      </c>
      <c r="D823">
        <v>2324.3560299999999</v>
      </c>
      <c r="E823">
        <v>0.97063999999999995</v>
      </c>
    </row>
    <row r="824" spans="1:5" x14ac:dyDescent="0.25">
      <c r="A824">
        <v>2322.3153400000001</v>
      </c>
      <c r="B824">
        <v>0.96908000000000005</v>
      </c>
      <c r="D824">
        <v>2322.3153400000001</v>
      </c>
      <c r="E824">
        <v>0.96901999999999999</v>
      </c>
    </row>
    <row r="825" spans="1:5" x14ac:dyDescent="0.25">
      <c r="A825">
        <v>2320.2746400000001</v>
      </c>
      <c r="B825">
        <v>0.96769000000000005</v>
      </c>
      <c r="D825">
        <v>2320.2746400000001</v>
      </c>
      <c r="E825">
        <v>0.96796000000000004</v>
      </c>
    </row>
    <row r="826" spans="1:5" x14ac:dyDescent="0.25">
      <c r="A826">
        <v>2318.2339400000001</v>
      </c>
      <c r="B826">
        <v>0.9667</v>
      </c>
      <c r="D826">
        <v>2318.2339400000001</v>
      </c>
      <c r="E826">
        <v>0.96762999999999999</v>
      </c>
    </row>
    <row r="827" spans="1:5" x14ac:dyDescent="0.25">
      <c r="A827">
        <v>2316.1932400000001</v>
      </c>
      <c r="B827">
        <v>0.96604000000000001</v>
      </c>
      <c r="D827">
        <v>2316.1932400000001</v>
      </c>
      <c r="E827">
        <v>0.96725000000000005</v>
      </c>
    </row>
    <row r="828" spans="1:5" x14ac:dyDescent="0.25">
      <c r="A828">
        <v>2314.15254</v>
      </c>
      <c r="B828">
        <v>0.96562000000000003</v>
      </c>
      <c r="D828">
        <v>2314.15254</v>
      </c>
      <c r="E828">
        <v>0.96633999999999998</v>
      </c>
    </row>
    <row r="829" spans="1:5" x14ac:dyDescent="0.25">
      <c r="A829">
        <v>2312.11184</v>
      </c>
      <c r="B829">
        <v>0.96536999999999995</v>
      </c>
      <c r="D829">
        <v>2312.11184</v>
      </c>
      <c r="E829">
        <v>0.96540999999999999</v>
      </c>
    </row>
    <row r="830" spans="1:5" x14ac:dyDescent="0.25">
      <c r="A830">
        <v>2310.07114</v>
      </c>
      <c r="B830">
        <v>0.96530000000000005</v>
      </c>
      <c r="D830">
        <v>2310.07114</v>
      </c>
      <c r="E830">
        <v>0.96501000000000003</v>
      </c>
    </row>
    <row r="831" spans="1:5" x14ac:dyDescent="0.25">
      <c r="A831">
        <v>2308.03044</v>
      </c>
      <c r="B831">
        <v>0.96540000000000004</v>
      </c>
      <c r="D831">
        <v>2308.03044</v>
      </c>
      <c r="E831">
        <v>0.96531</v>
      </c>
    </row>
    <row r="832" spans="1:5" x14ac:dyDescent="0.25">
      <c r="A832">
        <v>2305.98974</v>
      </c>
      <c r="B832">
        <v>0.96564000000000005</v>
      </c>
      <c r="D832">
        <v>2305.98974</v>
      </c>
      <c r="E832">
        <v>0.96621999999999997</v>
      </c>
    </row>
    <row r="833" spans="1:5" x14ac:dyDescent="0.25">
      <c r="A833">
        <v>2303.9490500000002</v>
      </c>
      <c r="B833">
        <v>0.96597999999999995</v>
      </c>
      <c r="D833">
        <v>2303.9490500000002</v>
      </c>
      <c r="E833">
        <v>0.96726000000000001</v>
      </c>
    </row>
    <row r="834" spans="1:5" x14ac:dyDescent="0.25">
      <c r="A834">
        <v>2301.9083500000002</v>
      </c>
      <c r="B834">
        <v>0.96643999999999997</v>
      </c>
      <c r="D834">
        <v>2301.9083500000002</v>
      </c>
      <c r="E834">
        <v>0.96794999999999998</v>
      </c>
    </row>
    <row r="835" spans="1:5" x14ac:dyDescent="0.25">
      <c r="A835">
        <v>2299.8676500000001</v>
      </c>
      <c r="B835">
        <v>0.96701999999999999</v>
      </c>
      <c r="D835">
        <v>2299.8676500000001</v>
      </c>
      <c r="E835">
        <v>0.96831</v>
      </c>
    </row>
    <row r="836" spans="1:5" x14ac:dyDescent="0.25">
      <c r="A836">
        <v>2297.8269500000001</v>
      </c>
      <c r="B836">
        <v>0.96767000000000003</v>
      </c>
      <c r="D836">
        <v>2297.8269500000001</v>
      </c>
      <c r="E836">
        <v>0.96867000000000003</v>
      </c>
    </row>
    <row r="837" spans="1:5" x14ac:dyDescent="0.25">
      <c r="A837">
        <v>2295.7862500000001</v>
      </c>
      <c r="B837">
        <v>0.96823999999999999</v>
      </c>
      <c r="D837">
        <v>2295.7862500000001</v>
      </c>
      <c r="E837">
        <v>0.96914999999999996</v>
      </c>
    </row>
    <row r="838" spans="1:5" x14ac:dyDescent="0.25">
      <c r="A838">
        <v>2293.7455500000001</v>
      </c>
      <c r="B838">
        <v>0.96869000000000005</v>
      </c>
      <c r="D838">
        <v>2293.7455500000001</v>
      </c>
      <c r="E838">
        <v>0.96967999999999999</v>
      </c>
    </row>
    <row r="839" spans="1:5" x14ac:dyDescent="0.25">
      <c r="A839">
        <v>2291.7048500000001</v>
      </c>
      <c r="B839">
        <v>0.96902999999999995</v>
      </c>
      <c r="D839">
        <v>2291.7048500000001</v>
      </c>
      <c r="E839">
        <v>0.97013000000000005</v>
      </c>
    </row>
    <row r="840" spans="1:5" x14ac:dyDescent="0.25">
      <c r="A840">
        <v>2289.6641500000001</v>
      </c>
      <c r="B840">
        <v>0.96931999999999996</v>
      </c>
      <c r="D840">
        <v>2289.6641500000001</v>
      </c>
      <c r="E840">
        <v>0.97050000000000003</v>
      </c>
    </row>
    <row r="841" spans="1:5" x14ac:dyDescent="0.25">
      <c r="A841">
        <v>2287.62345</v>
      </c>
      <c r="B841">
        <v>0.96955000000000002</v>
      </c>
      <c r="D841">
        <v>2287.62345</v>
      </c>
      <c r="E841">
        <v>0.97077999999999998</v>
      </c>
    </row>
    <row r="842" spans="1:5" x14ac:dyDescent="0.25">
      <c r="A842">
        <v>2285.5827599999998</v>
      </c>
      <c r="B842">
        <v>0.96975</v>
      </c>
      <c r="D842">
        <v>2285.5827599999998</v>
      </c>
      <c r="E842">
        <v>0.97075999999999996</v>
      </c>
    </row>
    <row r="843" spans="1:5" x14ac:dyDescent="0.25">
      <c r="A843">
        <v>2283.5420600000002</v>
      </c>
      <c r="B843">
        <v>0.96991000000000005</v>
      </c>
      <c r="D843">
        <v>2283.5420600000002</v>
      </c>
      <c r="E843">
        <v>0.97043999999999997</v>
      </c>
    </row>
    <row r="844" spans="1:5" x14ac:dyDescent="0.25">
      <c r="A844">
        <v>2281.5013600000002</v>
      </c>
      <c r="B844">
        <v>0.96997</v>
      </c>
      <c r="D844">
        <v>2281.5013600000002</v>
      </c>
      <c r="E844">
        <v>0.97006000000000003</v>
      </c>
    </row>
    <row r="845" spans="1:5" x14ac:dyDescent="0.25">
      <c r="A845">
        <v>2279.4606600000002</v>
      </c>
      <c r="B845">
        <v>0.96994999999999998</v>
      </c>
      <c r="D845">
        <v>2279.4606600000002</v>
      </c>
      <c r="E845">
        <v>0.96989999999999998</v>
      </c>
    </row>
    <row r="846" spans="1:5" x14ac:dyDescent="0.25">
      <c r="A846">
        <v>2277.4199600000002</v>
      </c>
      <c r="B846">
        <v>0.96986000000000006</v>
      </c>
      <c r="D846">
        <v>2277.4199600000002</v>
      </c>
      <c r="E846">
        <v>0.96999000000000002</v>
      </c>
    </row>
    <row r="847" spans="1:5" x14ac:dyDescent="0.25">
      <c r="A847">
        <v>2275.3792600000002</v>
      </c>
      <c r="B847">
        <v>0.96975</v>
      </c>
      <c r="D847">
        <v>2275.3792600000002</v>
      </c>
      <c r="E847">
        <v>0.97009999999999996</v>
      </c>
    </row>
    <row r="848" spans="1:5" x14ac:dyDescent="0.25">
      <c r="A848">
        <v>2273.3385600000001</v>
      </c>
      <c r="B848">
        <v>0.96960999999999997</v>
      </c>
      <c r="D848">
        <v>2273.3385600000001</v>
      </c>
      <c r="E848">
        <v>0.97016999999999998</v>
      </c>
    </row>
    <row r="849" spans="1:5" x14ac:dyDescent="0.25">
      <c r="A849">
        <v>2271.2978600000001</v>
      </c>
      <c r="B849">
        <v>0.96945000000000003</v>
      </c>
      <c r="D849">
        <v>2271.2978600000001</v>
      </c>
      <c r="E849">
        <v>0.97016999999999998</v>
      </c>
    </row>
    <row r="850" spans="1:5" x14ac:dyDescent="0.25">
      <c r="A850">
        <v>2269.2571600000001</v>
      </c>
      <c r="B850">
        <v>0.96928000000000003</v>
      </c>
      <c r="D850">
        <v>2269.2571600000001</v>
      </c>
      <c r="E850">
        <v>0.97001999999999999</v>
      </c>
    </row>
    <row r="851" spans="1:5" x14ac:dyDescent="0.25">
      <c r="A851">
        <v>2267.2164699999998</v>
      </c>
      <c r="B851">
        <v>0.96911000000000003</v>
      </c>
      <c r="D851">
        <v>2267.2164699999998</v>
      </c>
      <c r="E851">
        <v>0.96975999999999996</v>
      </c>
    </row>
    <row r="852" spans="1:5" x14ac:dyDescent="0.25">
      <c r="A852">
        <v>2265.1757699999998</v>
      </c>
      <c r="B852">
        <v>0.96889999999999998</v>
      </c>
      <c r="D852">
        <v>2265.1757699999998</v>
      </c>
      <c r="E852">
        <v>0.96957000000000004</v>
      </c>
    </row>
    <row r="853" spans="1:5" x14ac:dyDescent="0.25">
      <c r="A853">
        <v>2263.1350699999998</v>
      </c>
      <c r="B853">
        <v>0.96865999999999997</v>
      </c>
      <c r="D853">
        <v>2263.1350699999998</v>
      </c>
      <c r="E853">
        <v>0.96948999999999996</v>
      </c>
    </row>
    <row r="854" spans="1:5" x14ac:dyDescent="0.25">
      <c r="A854">
        <v>2261.0943699999998</v>
      </c>
      <c r="B854">
        <v>0.96843000000000001</v>
      </c>
      <c r="D854">
        <v>2261.0943699999998</v>
      </c>
      <c r="E854">
        <v>0.96928999999999998</v>
      </c>
    </row>
    <row r="855" spans="1:5" x14ac:dyDescent="0.25">
      <c r="A855">
        <v>2259.0536699999998</v>
      </c>
      <c r="B855">
        <v>0.96823999999999999</v>
      </c>
      <c r="D855">
        <v>2259.0536699999998</v>
      </c>
      <c r="E855">
        <v>0.96891000000000005</v>
      </c>
    </row>
    <row r="856" spans="1:5" x14ac:dyDescent="0.25">
      <c r="A856">
        <v>2257.0129700000002</v>
      </c>
      <c r="B856">
        <v>0.96809000000000001</v>
      </c>
      <c r="D856">
        <v>2257.0129700000002</v>
      </c>
      <c r="E856">
        <v>0.96863999999999995</v>
      </c>
    </row>
    <row r="857" spans="1:5" x14ac:dyDescent="0.25">
      <c r="A857">
        <v>2254.9722700000002</v>
      </c>
      <c r="B857">
        <v>0.96797</v>
      </c>
      <c r="D857">
        <v>2254.9722700000002</v>
      </c>
      <c r="E857">
        <v>0.96855999999999998</v>
      </c>
    </row>
    <row r="858" spans="1:5" x14ac:dyDescent="0.25">
      <c r="A858">
        <v>2252.9315700000002</v>
      </c>
      <c r="B858">
        <v>0.96784000000000003</v>
      </c>
      <c r="D858">
        <v>2252.9315700000002</v>
      </c>
      <c r="E858">
        <v>0.96843999999999997</v>
      </c>
    </row>
    <row r="859" spans="1:5" x14ac:dyDescent="0.25">
      <c r="A859">
        <v>2250.8908700000002</v>
      </c>
      <c r="B859">
        <v>0.96769000000000005</v>
      </c>
      <c r="D859">
        <v>2250.8908700000002</v>
      </c>
      <c r="E859">
        <v>0.96809999999999996</v>
      </c>
    </row>
    <row r="860" spans="1:5" x14ac:dyDescent="0.25">
      <c r="A860">
        <v>2248.8501799999999</v>
      </c>
      <c r="B860">
        <v>0.96755000000000002</v>
      </c>
      <c r="D860">
        <v>2248.8501799999999</v>
      </c>
      <c r="E860">
        <v>0.96825000000000006</v>
      </c>
    </row>
    <row r="861" spans="1:5" x14ac:dyDescent="0.25">
      <c r="A861">
        <v>2246.8094799999999</v>
      </c>
      <c r="B861">
        <v>0.96743999999999997</v>
      </c>
      <c r="D861">
        <v>2246.8094799999999</v>
      </c>
      <c r="E861">
        <v>0.96830000000000005</v>
      </c>
    </row>
    <row r="862" spans="1:5" x14ac:dyDescent="0.25">
      <c r="A862">
        <v>2244.7687799999999</v>
      </c>
      <c r="B862">
        <v>0.96736</v>
      </c>
      <c r="D862">
        <v>2244.7687799999999</v>
      </c>
      <c r="E862">
        <v>0.96836999999999995</v>
      </c>
    </row>
    <row r="863" spans="1:5" x14ac:dyDescent="0.25">
      <c r="A863">
        <v>2242.7280799999999</v>
      </c>
      <c r="B863">
        <v>0.96726000000000001</v>
      </c>
      <c r="D863">
        <v>2242.7280799999999</v>
      </c>
      <c r="E863">
        <v>0.96828999999999998</v>
      </c>
    </row>
    <row r="864" spans="1:5" x14ac:dyDescent="0.25">
      <c r="A864">
        <v>2240.6873799999998</v>
      </c>
      <c r="B864">
        <v>0.96711999999999998</v>
      </c>
      <c r="D864">
        <v>2240.6873799999998</v>
      </c>
      <c r="E864">
        <v>0.96794000000000002</v>
      </c>
    </row>
    <row r="865" spans="1:5" x14ac:dyDescent="0.25">
      <c r="A865">
        <v>2238.6466799999998</v>
      </c>
      <c r="B865">
        <v>0.96694999999999998</v>
      </c>
      <c r="D865">
        <v>2238.6466799999998</v>
      </c>
      <c r="E865">
        <v>0.96760000000000002</v>
      </c>
    </row>
    <row r="866" spans="1:5" x14ac:dyDescent="0.25">
      <c r="A866">
        <v>2236.6059799999998</v>
      </c>
      <c r="B866">
        <v>0.96679000000000004</v>
      </c>
      <c r="D866">
        <v>2236.6059799999998</v>
      </c>
      <c r="E866">
        <v>0.96743000000000001</v>
      </c>
    </row>
    <row r="867" spans="1:5" x14ac:dyDescent="0.25">
      <c r="A867">
        <v>2234.5652799999998</v>
      </c>
      <c r="B867">
        <v>0.96662999999999999</v>
      </c>
      <c r="D867">
        <v>2234.5652799999998</v>
      </c>
      <c r="E867">
        <v>0.96719999999999995</v>
      </c>
    </row>
    <row r="868" spans="1:5" x14ac:dyDescent="0.25">
      <c r="A868">
        <v>2232.5245799999998</v>
      </c>
      <c r="B868">
        <v>0.96645000000000003</v>
      </c>
      <c r="D868">
        <v>2232.5245799999998</v>
      </c>
      <c r="E868">
        <v>0.96697999999999995</v>
      </c>
    </row>
    <row r="869" spans="1:5" x14ac:dyDescent="0.25">
      <c r="A869">
        <v>2230.48389</v>
      </c>
      <c r="B869">
        <v>0.96626999999999996</v>
      </c>
      <c r="D869">
        <v>2230.48389</v>
      </c>
      <c r="E869">
        <v>0.96682999999999997</v>
      </c>
    </row>
    <row r="870" spans="1:5" x14ac:dyDescent="0.25">
      <c r="A870">
        <v>2228.44319</v>
      </c>
      <c r="B870">
        <v>0.96609999999999996</v>
      </c>
      <c r="D870">
        <v>2228.44319</v>
      </c>
      <c r="E870">
        <v>0.96662000000000003</v>
      </c>
    </row>
    <row r="871" spans="1:5" x14ac:dyDescent="0.25">
      <c r="A871">
        <v>2226.4024899999999</v>
      </c>
      <c r="B871">
        <v>0.96592999999999996</v>
      </c>
      <c r="D871">
        <v>2226.4024899999999</v>
      </c>
      <c r="E871">
        <v>0.96652000000000005</v>
      </c>
    </row>
    <row r="872" spans="1:5" x14ac:dyDescent="0.25">
      <c r="A872">
        <v>2224.3617899999999</v>
      </c>
      <c r="B872">
        <v>0.96574000000000004</v>
      </c>
      <c r="D872">
        <v>2224.3617899999999</v>
      </c>
      <c r="E872">
        <v>0.96650999999999998</v>
      </c>
    </row>
    <row r="873" spans="1:5" x14ac:dyDescent="0.25">
      <c r="A873">
        <v>2222.3210899999999</v>
      </c>
      <c r="B873">
        <v>0.96550999999999998</v>
      </c>
      <c r="D873">
        <v>2222.3210899999999</v>
      </c>
      <c r="E873">
        <v>0.96630000000000005</v>
      </c>
    </row>
    <row r="874" spans="1:5" x14ac:dyDescent="0.25">
      <c r="A874">
        <v>2220.2803899999999</v>
      </c>
      <c r="B874">
        <v>0.96525000000000005</v>
      </c>
      <c r="D874">
        <v>2220.2803899999999</v>
      </c>
      <c r="E874">
        <v>0.96594000000000002</v>
      </c>
    </row>
    <row r="875" spans="1:5" x14ac:dyDescent="0.25">
      <c r="A875">
        <v>2218.2396899999999</v>
      </c>
      <c r="B875">
        <v>0.96501999999999999</v>
      </c>
      <c r="D875">
        <v>2218.2396899999999</v>
      </c>
      <c r="E875">
        <v>0.96555000000000002</v>
      </c>
    </row>
    <row r="876" spans="1:5" x14ac:dyDescent="0.25">
      <c r="A876">
        <v>2216.1989899999999</v>
      </c>
      <c r="B876">
        <v>0.96480999999999995</v>
      </c>
      <c r="D876">
        <v>2216.1989899999999</v>
      </c>
      <c r="E876">
        <v>0.96518999999999999</v>
      </c>
    </row>
    <row r="877" spans="1:5" x14ac:dyDescent="0.25">
      <c r="A877">
        <v>2214.1582899999999</v>
      </c>
      <c r="B877">
        <v>0.96460000000000001</v>
      </c>
      <c r="D877">
        <v>2214.1582899999999</v>
      </c>
      <c r="E877">
        <v>0.96491000000000005</v>
      </c>
    </row>
    <row r="878" spans="1:5" x14ac:dyDescent="0.25">
      <c r="A878">
        <v>2212.1176</v>
      </c>
      <c r="B878">
        <v>0.96440000000000003</v>
      </c>
      <c r="D878">
        <v>2212.1176</v>
      </c>
      <c r="E878">
        <v>0.96482000000000001</v>
      </c>
    </row>
    <row r="879" spans="1:5" x14ac:dyDescent="0.25">
      <c r="A879">
        <v>2210.0769</v>
      </c>
      <c r="B879">
        <v>0.96418000000000004</v>
      </c>
      <c r="D879">
        <v>2210.0769</v>
      </c>
      <c r="E879">
        <v>0.96479000000000004</v>
      </c>
    </row>
    <row r="880" spans="1:5" x14ac:dyDescent="0.25">
      <c r="A880">
        <v>2208.0362</v>
      </c>
      <c r="B880">
        <v>0.96396999999999999</v>
      </c>
      <c r="D880">
        <v>2208.0362</v>
      </c>
      <c r="E880">
        <v>0.96457000000000004</v>
      </c>
    </row>
    <row r="881" spans="1:5" x14ac:dyDescent="0.25">
      <c r="A881">
        <v>2205.9955</v>
      </c>
      <c r="B881">
        <v>0.96377999999999997</v>
      </c>
      <c r="D881">
        <v>2205.9955</v>
      </c>
      <c r="E881">
        <v>0.96438000000000001</v>
      </c>
    </row>
    <row r="882" spans="1:5" x14ac:dyDescent="0.25">
      <c r="A882">
        <v>2203.9548</v>
      </c>
      <c r="B882">
        <v>0.96360000000000001</v>
      </c>
      <c r="D882">
        <v>2203.9548</v>
      </c>
      <c r="E882">
        <v>0.96428000000000003</v>
      </c>
    </row>
    <row r="883" spans="1:5" x14ac:dyDescent="0.25">
      <c r="A883">
        <v>2201.9141</v>
      </c>
      <c r="B883">
        <v>0.96340000000000003</v>
      </c>
      <c r="D883">
        <v>2201.9141</v>
      </c>
      <c r="E883">
        <v>0.96408000000000005</v>
      </c>
    </row>
    <row r="884" spans="1:5" x14ac:dyDescent="0.25">
      <c r="A884">
        <v>2199.8733999999999</v>
      </c>
      <c r="B884">
        <v>0.96316000000000002</v>
      </c>
      <c r="D884">
        <v>2199.8733999999999</v>
      </c>
      <c r="E884">
        <v>0.96387999999999996</v>
      </c>
    </row>
    <row r="885" spans="1:5" x14ac:dyDescent="0.25">
      <c r="A885">
        <v>2197.8326999999999</v>
      </c>
      <c r="B885">
        <v>0.96287999999999996</v>
      </c>
      <c r="D885">
        <v>2197.8326999999999</v>
      </c>
      <c r="E885">
        <v>0.96372000000000002</v>
      </c>
    </row>
    <row r="886" spans="1:5" x14ac:dyDescent="0.25">
      <c r="A886">
        <v>2195.7919999999999</v>
      </c>
      <c r="B886">
        <v>0.96260999999999997</v>
      </c>
      <c r="D886">
        <v>2195.7919999999999</v>
      </c>
      <c r="E886">
        <v>0.96340999999999999</v>
      </c>
    </row>
    <row r="887" spans="1:5" x14ac:dyDescent="0.25">
      <c r="A887">
        <v>2193.7513100000001</v>
      </c>
      <c r="B887">
        <v>0.96235000000000004</v>
      </c>
      <c r="D887">
        <v>2193.7513100000001</v>
      </c>
      <c r="E887">
        <v>0.96306999999999998</v>
      </c>
    </row>
    <row r="888" spans="1:5" x14ac:dyDescent="0.25">
      <c r="A888">
        <v>2191.7106100000001</v>
      </c>
      <c r="B888">
        <v>0.96208000000000005</v>
      </c>
      <c r="D888">
        <v>2191.7106100000001</v>
      </c>
      <c r="E888">
        <v>0.96274999999999999</v>
      </c>
    </row>
    <row r="889" spans="1:5" x14ac:dyDescent="0.25">
      <c r="A889">
        <v>2189.6699100000001</v>
      </c>
      <c r="B889">
        <v>0.96182000000000001</v>
      </c>
      <c r="D889">
        <v>2189.6699100000001</v>
      </c>
      <c r="E889">
        <v>0.96226</v>
      </c>
    </row>
    <row r="890" spans="1:5" x14ac:dyDescent="0.25">
      <c r="A890">
        <v>2187.6292100000001</v>
      </c>
      <c r="B890">
        <v>0.96158999999999994</v>
      </c>
      <c r="D890">
        <v>2187.6292100000001</v>
      </c>
      <c r="E890">
        <v>0.96175999999999995</v>
      </c>
    </row>
    <row r="891" spans="1:5" x14ac:dyDescent="0.25">
      <c r="A891">
        <v>2185.58851</v>
      </c>
      <c r="B891">
        <v>0.96138999999999997</v>
      </c>
      <c r="D891">
        <v>2185.58851</v>
      </c>
      <c r="E891">
        <v>0.96158999999999994</v>
      </c>
    </row>
    <row r="892" spans="1:5" x14ac:dyDescent="0.25">
      <c r="A892">
        <v>2183.54781</v>
      </c>
      <c r="B892">
        <v>0.96118999999999999</v>
      </c>
      <c r="D892">
        <v>2183.54781</v>
      </c>
      <c r="E892">
        <v>0.96172999999999997</v>
      </c>
    </row>
    <row r="893" spans="1:5" x14ac:dyDescent="0.25">
      <c r="A893">
        <v>2181.50711</v>
      </c>
      <c r="B893">
        <v>0.96099999999999997</v>
      </c>
      <c r="D893">
        <v>2181.50711</v>
      </c>
      <c r="E893">
        <v>0.96182000000000001</v>
      </c>
    </row>
    <row r="894" spans="1:5" x14ac:dyDescent="0.25">
      <c r="A894">
        <v>2179.46641</v>
      </c>
      <c r="B894">
        <v>0.96082000000000001</v>
      </c>
      <c r="D894">
        <v>2179.46641</v>
      </c>
      <c r="E894">
        <v>0.96164000000000005</v>
      </c>
    </row>
    <row r="895" spans="1:5" x14ac:dyDescent="0.25">
      <c r="A895">
        <v>2177.42571</v>
      </c>
      <c r="B895">
        <v>0.96065</v>
      </c>
      <c r="D895">
        <v>2177.42571</v>
      </c>
      <c r="E895">
        <v>0.96133000000000002</v>
      </c>
    </row>
    <row r="896" spans="1:5" x14ac:dyDescent="0.25">
      <c r="A896">
        <v>2175.3850200000002</v>
      </c>
      <c r="B896">
        <v>0.96050999999999997</v>
      </c>
      <c r="D896">
        <v>2175.3850200000002</v>
      </c>
      <c r="E896">
        <v>0.96111999999999997</v>
      </c>
    </row>
    <row r="897" spans="1:5" x14ac:dyDescent="0.25">
      <c r="A897">
        <v>2173.3443200000002</v>
      </c>
      <c r="B897">
        <v>0.96043000000000001</v>
      </c>
      <c r="D897">
        <v>2173.3443200000002</v>
      </c>
      <c r="E897">
        <v>0.96104999999999996</v>
      </c>
    </row>
    <row r="898" spans="1:5" x14ac:dyDescent="0.25">
      <c r="A898">
        <v>2171.3036200000001</v>
      </c>
      <c r="B898">
        <v>0.96035000000000004</v>
      </c>
      <c r="D898">
        <v>2171.3036200000001</v>
      </c>
      <c r="E898">
        <v>0.96104000000000001</v>
      </c>
    </row>
    <row r="899" spans="1:5" x14ac:dyDescent="0.25">
      <c r="A899">
        <v>2169.2629200000001</v>
      </c>
      <c r="B899">
        <v>0.96025000000000005</v>
      </c>
      <c r="D899">
        <v>2169.2629200000001</v>
      </c>
      <c r="E899">
        <v>0.96104999999999996</v>
      </c>
    </row>
    <row r="900" spans="1:5" x14ac:dyDescent="0.25">
      <c r="A900">
        <v>2167.2222200000001</v>
      </c>
      <c r="B900">
        <v>0.96013000000000004</v>
      </c>
      <c r="D900">
        <v>2167.2222200000001</v>
      </c>
      <c r="E900">
        <v>0.96106000000000003</v>
      </c>
    </row>
    <row r="901" spans="1:5" x14ac:dyDescent="0.25">
      <c r="A901">
        <v>2165.1815200000001</v>
      </c>
      <c r="B901">
        <v>0.96006000000000002</v>
      </c>
      <c r="D901">
        <v>2165.1815200000001</v>
      </c>
      <c r="E901">
        <v>0.96092</v>
      </c>
    </row>
    <row r="902" spans="1:5" x14ac:dyDescent="0.25">
      <c r="A902">
        <v>2163.1408200000001</v>
      </c>
      <c r="B902">
        <v>0.96006999999999998</v>
      </c>
      <c r="D902">
        <v>2163.1408200000001</v>
      </c>
      <c r="E902">
        <v>0.96079000000000003</v>
      </c>
    </row>
    <row r="903" spans="1:5" x14ac:dyDescent="0.25">
      <c r="A903">
        <v>2161.1001200000001</v>
      </c>
      <c r="B903">
        <v>0.96013000000000004</v>
      </c>
      <c r="D903">
        <v>2161.1001200000001</v>
      </c>
      <c r="E903">
        <v>0.96089999999999998</v>
      </c>
    </row>
    <row r="904" spans="1:5" x14ac:dyDescent="0.25">
      <c r="A904">
        <v>2159.05942</v>
      </c>
      <c r="B904">
        <v>0.96023999999999998</v>
      </c>
      <c r="D904">
        <v>2159.05942</v>
      </c>
      <c r="E904">
        <v>0.96099000000000001</v>
      </c>
    </row>
    <row r="905" spans="1:5" x14ac:dyDescent="0.25">
      <c r="A905">
        <v>2157.0187299999998</v>
      </c>
      <c r="B905">
        <v>0.96042000000000005</v>
      </c>
      <c r="D905">
        <v>2157.0187299999998</v>
      </c>
      <c r="E905">
        <v>0.96089999999999998</v>
      </c>
    </row>
    <row r="906" spans="1:5" x14ac:dyDescent="0.25">
      <c r="A906">
        <v>2154.9780300000002</v>
      </c>
      <c r="B906">
        <v>0.96062999999999998</v>
      </c>
      <c r="D906">
        <v>2154.9780300000002</v>
      </c>
      <c r="E906">
        <v>0.96091000000000004</v>
      </c>
    </row>
    <row r="907" spans="1:5" x14ac:dyDescent="0.25">
      <c r="A907">
        <v>2152.9373300000002</v>
      </c>
      <c r="B907">
        <v>0.96082999999999996</v>
      </c>
      <c r="D907">
        <v>2152.9373300000002</v>
      </c>
      <c r="E907">
        <v>0.96120000000000005</v>
      </c>
    </row>
    <row r="908" spans="1:5" x14ac:dyDescent="0.25">
      <c r="A908">
        <v>2150.8966300000002</v>
      </c>
      <c r="B908">
        <v>0.96096999999999999</v>
      </c>
      <c r="D908">
        <v>2150.8966300000002</v>
      </c>
      <c r="E908">
        <v>0.96158999999999994</v>
      </c>
    </row>
    <row r="909" spans="1:5" x14ac:dyDescent="0.25">
      <c r="A909">
        <v>2148.8559300000002</v>
      </c>
      <c r="B909">
        <v>0.96103000000000005</v>
      </c>
      <c r="D909">
        <v>2148.8559300000002</v>
      </c>
      <c r="E909">
        <v>0.96177999999999997</v>
      </c>
    </row>
    <row r="910" spans="1:5" x14ac:dyDescent="0.25">
      <c r="A910">
        <v>2146.8152300000002</v>
      </c>
      <c r="B910">
        <v>0.96104999999999996</v>
      </c>
      <c r="D910">
        <v>2146.8152300000002</v>
      </c>
      <c r="E910">
        <v>0.96177000000000001</v>
      </c>
    </row>
    <row r="911" spans="1:5" x14ac:dyDescent="0.25">
      <c r="A911">
        <v>2144.7745300000001</v>
      </c>
      <c r="B911">
        <v>0.96106999999999998</v>
      </c>
      <c r="D911">
        <v>2144.7745300000001</v>
      </c>
      <c r="E911">
        <v>0.96174999999999999</v>
      </c>
    </row>
    <row r="912" spans="1:5" x14ac:dyDescent="0.25">
      <c r="A912">
        <v>2142.7338300000001</v>
      </c>
      <c r="B912">
        <v>0.96106000000000003</v>
      </c>
      <c r="D912">
        <v>2142.7338300000001</v>
      </c>
      <c r="E912">
        <v>0.96165999999999996</v>
      </c>
    </row>
    <row r="913" spans="1:5" x14ac:dyDescent="0.25">
      <c r="A913">
        <v>2140.6931300000001</v>
      </c>
      <c r="B913">
        <v>0.96104000000000001</v>
      </c>
      <c r="D913">
        <v>2140.6931300000001</v>
      </c>
      <c r="E913">
        <v>0.96131999999999995</v>
      </c>
    </row>
    <row r="914" spans="1:5" x14ac:dyDescent="0.25">
      <c r="A914">
        <v>2138.6524399999998</v>
      </c>
      <c r="B914">
        <v>0.96101000000000003</v>
      </c>
      <c r="D914">
        <v>2138.6524399999998</v>
      </c>
      <c r="E914">
        <v>0.96099999999999997</v>
      </c>
    </row>
    <row r="915" spans="1:5" x14ac:dyDescent="0.25">
      <c r="A915">
        <v>2136.6117399999998</v>
      </c>
      <c r="B915">
        <v>0.96094999999999997</v>
      </c>
      <c r="D915">
        <v>2136.6117399999998</v>
      </c>
      <c r="E915">
        <v>0.96087999999999996</v>
      </c>
    </row>
    <row r="916" spans="1:5" x14ac:dyDescent="0.25">
      <c r="A916">
        <v>2134.5710399999998</v>
      </c>
      <c r="B916">
        <v>0.96089999999999998</v>
      </c>
      <c r="D916">
        <v>2134.5710399999998</v>
      </c>
      <c r="E916">
        <v>0.96096999999999999</v>
      </c>
    </row>
    <row r="917" spans="1:5" x14ac:dyDescent="0.25">
      <c r="A917">
        <v>2132.5303399999998</v>
      </c>
      <c r="B917">
        <v>0.96086000000000005</v>
      </c>
      <c r="D917">
        <v>2132.5303399999998</v>
      </c>
      <c r="E917">
        <v>0.96128000000000002</v>
      </c>
    </row>
    <row r="918" spans="1:5" x14ac:dyDescent="0.25">
      <c r="A918">
        <v>2130.4896399999998</v>
      </c>
      <c r="B918">
        <v>0.96084999999999998</v>
      </c>
      <c r="D918">
        <v>2130.4896399999998</v>
      </c>
      <c r="E918">
        <v>0.96148999999999996</v>
      </c>
    </row>
    <row r="919" spans="1:5" x14ac:dyDescent="0.25">
      <c r="A919">
        <v>2128.4489400000002</v>
      </c>
      <c r="B919">
        <v>0.96087999999999996</v>
      </c>
      <c r="D919">
        <v>2128.4489400000002</v>
      </c>
      <c r="E919">
        <v>0.96148999999999996</v>
      </c>
    </row>
    <row r="920" spans="1:5" x14ac:dyDescent="0.25">
      <c r="A920">
        <v>2126.4082400000002</v>
      </c>
      <c r="B920">
        <v>0.96094000000000002</v>
      </c>
      <c r="D920">
        <v>2126.4082400000002</v>
      </c>
      <c r="E920">
        <v>0.96152000000000004</v>
      </c>
    </row>
    <row r="921" spans="1:5" x14ac:dyDescent="0.25">
      <c r="A921">
        <v>2124.3675400000002</v>
      </c>
      <c r="B921">
        <v>0.96104000000000001</v>
      </c>
      <c r="D921">
        <v>2124.3675400000002</v>
      </c>
      <c r="E921">
        <v>0.96160000000000001</v>
      </c>
    </row>
    <row r="922" spans="1:5" x14ac:dyDescent="0.25">
      <c r="A922">
        <v>2122.3268400000002</v>
      </c>
      <c r="B922">
        <v>0.96113999999999999</v>
      </c>
      <c r="D922">
        <v>2122.3268400000002</v>
      </c>
      <c r="E922">
        <v>0.96162999999999998</v>
      </c>
    </row>
    <row r="923" spans="1:5" x14ac:dyDescent="0.25">
      <c r="A923">
        <v>2120.2861499999999</v>
      </c>
      <c r="B923">
        <v>0.96123999999999998</v>
      </c>
      <c r="D923">
        <v>2120.2861499999999</v>
      </c>
      <c r="E923">
        <v>0.96162999999999998</v>
      </c>
    </row>
    <row r="924" spans="1:5" x14ac:dyDescent="0.25">
      <c r="A924">
        <v>2118.2454499999999</v>
      </c>
      <c r="B924">
        <v>0.96133000000000002</v>
      </c>
      <c r="D924">
        <v>2118.2454499999999</v>
      </c>
      <c r="E924">
        <v>0.96155000000000002</v>
      </c>
    </row>
    <row r="925" spans="1:5" x14ac:dyDescent="0.25">
      <c r="A925">
        <v>2116.2047499999999</v>
      </c>
      <c r="B925">
        <v>0.96143000000000001</v>
      </c>
      <c r="D925">
        <v>2116.2047499999999</v>
      </c>
      <c r="E925">
        <v>0.96147000000000005</v>
      </c>
    </row>
    <row r="926" spans="1:5" x14ac:dyDescent="0.25">
      <c r="A926">
        <v>2114.1640499999999</v>
      </c>
      <c r="B926">
        <v>0.96155999999999997</v>
      </c>
      <c r="D926">
        <v>2114.1640499999999</v>
      </c>
      <c r="E926">
        <v>0.96167000000000002</v>
      </c>
    </row>
    <row r="927" spans="1:5" x14ac:dyDescent="0.25">
      <c r="A927">
        <v>2112.1233499999998</v>
      </c>
      <c r="B927">
        <v>0.96174000000000004</v>
      </c>
      <c r="D927">
        <v>2112.1233499999998</v>
      </c>
      <c r="E927">
        <v>0.96221999999999996</v>
      </c>
    </row>
    <row r="928" spans="1:5" x14ac:dyDescent="0.25">
      <c r="A928">
        <v>2110.0826499999998</v>
      </c>
      <c r="B928">
        <v>0.96192999999999995</v>
      </c>
      <c r="D928">
        <v>2110.0826499999998</v>
      </c>
      <c r="E928">
        <v>0.96262000000000003</v>
      </c>
    </row>
    <row r="929" spans="1:5" x14ac:dyDescent="0.25">
      <c r="A929">
        <v>2108.0419499999998</v>
      </c>
      <c r="B929">
        <v>0.96216000000000002</v>
      </c>
      <c r="D929">
        <v>2108.0419499999998</v>
      </c>
      <c r="E929">
        <v>0.96267000000000003</v>
      </c>
    </row>
    <row r="930" spans="1:5" x14ac:dyDescent="0.25">
      <c r="A930">
        <v>2106.0012499999998</v>
      </c>
      <c r="B930">
        <v>0.96243000000000001</v>
      </c>
      <c r="D930">
        <v>2106.0012499999998</v>
      </c>
      <c r="E930">
        <v>0.96267999999999998</v>
      </c>
    </row>
    <row r="931" spans="1:5" x14ac:dyDescent="0.25">
      <c r="A931">
        <v>2103.9605499999998</v>
      </c>
      <c r="B931">
        <v>0.96267999999999998</v>
      </c>
      <c r="D931">
        <v>2103.9605499999998</v>
      </c>
      <c r="E931">
        <v>0.96284000000000003</v>
      </c>
    </row>
    <row r="932" spans="1:5" x14ac:dyDescent="0.25">
      <c r="A932">
        <v>2101.91986</v>
      </c>
      <c r="B932">
        <v>0.96291000000000004</v>
      </c>
      <c r="D932">
        <v>2101.91986</v>
      </c>
      <c r="E932">
        <v>0.96318000000000004</v>
      </c>
    </row>
    <row r="933" spans="1:5" x14ac:dyDescent="0.25">
      <c r="A933">
        <v>2099.87916</v>
      </c>
      <c r="B933">
        <v>0.96314999999999995</v>
      </c>
      <c r="D933">
        <v>2099.87916</v>
      </c>
      <c r="E933">
        <v>0.96348999999999996</v>
      </c>
    </row>
    <row r="934" spans="1:5" x14ac:dyDescent="0.25">
      <c r="A934">
        <v>2097.8384599999999</v>
      </c>
      <c r="B934">
        <v>0.96340999999999999</v>
      </c>
      <c r="D934">
        <v>2097.8384599999999</v>
      </c>
      <c r="E934">
        <v>0.96377999999999997</v>
      </c>
    </row>
    <row r="935" spans="1:5" x14ac:dyDescent="0.25">
      <c r="A935">
        <v>2095.7977599999999</v>
      </c>
      <c r="B935">
        <v>0.96367999999999998</v>
      </c>
      <c r="D935">
        <v>2095.7977599999999</v>
      </c>
      <c r="E935">
        <v>0.96387</v>
      </c>
    </row>
    <row r="936" spans="1:5" x14ac:dyDescent="0.25">
      <c r="A936">
        <v>2093.7570599999999</v>
      </c>
      <c r="B936">
        <v>0.96396000000000004</v>
      </c>
      <c r="D936">
        <v>2093.7570599999999</v>
      </c>
      <c r="E936">
        <v>0.96404000000000001</v>
      </c>
    </row>
    <row r="937" spans="1:5" x14ac:dyDescent="0.25">
      <c r="A937">
        <v>2091.7163599999999</v>
      </c>
      <c r="B937">
        <v>0.96426999999999996</v>
      </c>
      <c r="D937">
        <v>2091.7163599999999</v>
      </c>
      <c r="E937">
        <v>0.96411000000000002</v>
      </c>
    </row>
    <row r="938" spans="1:5" x14ac:dyDescent="0.25">
      <c r="A938">
        <v>2089.6756599999999</v>
      </c>
      <c r="B938">
        <v>0.96462000000000003</v>
      </c>
      <c r="D938">
        <v>2089.6756599999999</v>
      </c>
      <c r="E938">
        <v>0.96423999999999999</v>
      </c>
    </row>
    <row r="939" spans="1:5" x14ac:dyDescent="0.25">
      <c r="A939">
        <v>2087.6349599999999</v>
      </c>
      <c r="B939">
        <v>0.96497999999999995</v>
      </c>
      <c r="D939">
        <v>2087.6349599999999</v>
      </c>
      <c r="E939">
        <v>0.96489000000000003</v>
      </c>
    </row>
    <row r="940" spans="1:5" x14ac:dyDescent="0.25">
      <c r="A940">
        <v>2085.5942599999998</v>
      </c>
      <c r="B940">
        <v>0.96536999999999995</v>
      </c>
      <c r="D940">
        <v>2085.5942599999998</v>
      </c>
      <c r="E940">
        <v>0.96569000000000005</v>
      </c>
    </row>
    <row r="941" spans="1:5" x14ac:dyDescent="0.25">
      <c r="A941">
        <v>2083.55357</v>
      </c>
      <c r="B941">
        <v>0.96584000000000003</v>
      </c>
      <c r="D941">
        <v>2083.55357</v>
      </c>
      <c r="E941">
        <v>0.96628999999999998</v>
      </c>
    </row>
    <row r="942" spans="1:5" x14ac:dyDescent="0.25">
      <c r="A942">
        <v>2081.51287</v>
      </c>
      <c r="B942">
        <v>0.96633000000000002</v>
      </c>
      <c r="D942">
        <v>2081.51287</v>
      </c>
      <c r="E942">
        <v>0.96670999999999996</v>
      </c>
    </row>
    <row r="943" spans="1:5" x14ac:dyDescent="0.25">
      <c r="A943">
        <v>2079.47217</v>
      </c>
      <c r="B943">
        <v>0.96670999999999996</v>
      </c>
      <c r="D943">
        <v>2079.47217</v>
      </c>
      <c r="E943">
        <v>0.96701999999999999</v>
      </c>
    </row>
    <row r="944" spans="1:5" x14ac:dyDescent="0.25">
      <c r="A944">
        <v>2077.43147</v>
      </c>
      <c r="B944">
        <v>0.96699000000000002</v>
      </c>
      <c r="D944">
        <v>2077.43147</v>
      </c>
      <c r="E944">
        <v>0.96725000000000005</v>
      </c>
    </row>
    <row r="945" spans="1:5" x14ac:dyDescent="0.25">
      <c r="A945">
        <v>2075.39077</v>
      </c>
      <c r="B945">
        <v>0.96726999999999996</v>
      </c>
      <c r="D945">
        <v>2075.39077</v>
      </c>
      <c r="E945">
        <v>0.96745999999999999</v>
      </c>
    </row>
    <row r="946" spans="1:5" x14ac:dyDescent="0.25">
      <c r="A946">
        <v>2073.35007</v>
      </c>
      <c r="B946">
        <v>0.96755000000000002</v>
      </c>
      <c r="D946">
        <v>2073.35007</v>
      </c>
      <c r="E946">
        <v>0.96789000000000003</v>
      </c>
    </row>
    <row r="947" spans="1:5" x14ac:dyDescent="0.25">
      <c r="A947">
        <v>2071.3093699999999</v>
      </c>
      <c r="B947">
        <v>0.96782000000000001</v>
      </c>
      <c r="D947">
        <v>2071.3093699999999</v>
      </c>
      <c r="E947">
        <v>0.96853999999999996</v>
      </c>
    </row>
    <row r="948" spans="1:5" x14ac:dyDescent="0.25">
      <c r="A948">
        <v>2069.2686699999999</v>
      </c>
      <c r="B948">
        <v>0.96809999999999996</v>
      </c>
      <c r="D948">
        <v>2069.2686699999999</v>
      </c>
      <c r="E948">
        <v>0.96879000000000004</v>
      </c>
    </row>
    <row r="949" spans="1:5" x14ac:dyDescent="0.25">
      <c r="A949">
        <v>2067.2279699999999</v>
      </c>
      <c r="B949">
        <v>0.96843000000000001</v>
      </c>
      <c r="D949">
        <v>2067.2279699999999</v>
      </c>
      <c r="E949">
        <v>0.96821999999999997</v>
      </c>
    </row>
    <row r="950" spans="1:5" x14ac:dyDescent="0.25">
      <c r="A950">
        <v>2065.1872800000001</v>
      </c>
      <c r="B950">
        <v>0.96880999999999995</v>
      </c>
      <c r="D950">
        <v>2065.1872800000001</v>
      </c>
      <c r="E950">
        <v>0.96780999999999995</v>
      </c>
    </row>
    <row r="951" spans="1:5" x14ac:dyDescent="0.25">
      <c r="A951">
        <v>2063.1465800000001</v>
      </c>
      <c r="B951">
        <v>0.96921999999999997</v>
      </c>
      <c r="D951">
        <v>2063.1465800000001</v>
      </c>
      <c r="E951">
        <v>0.96877999999999997</v>
      </c>
    </row>
    <row r="952" spans="1:5" x14ac:dyDescent="0.25">
      <c r="A952">
        <v>2061.1058800000001</v>
      </c>
      <c r="B952">
        <v>0.96965000000000001</v>
      </c>
      <c r="D952">
        <v>2061.1058800000001</v>
      </c>
      <c r="E952">
        <v>0.97</v>
      </c>
    </row>
    <row r="953" spans="1:5" x14ac:dyDescent="0.25">
      <c r="A953">
        <v>2059.0651800000001</v>
      </c>
      <c r="B953">
        <v>0.97011999999999998</v>
      </c>
      <c r="D953">
        <v>2059.0651800000001</v>
      </c>
      <c r="E953">
        <v>0.97053</v>
      </c>
    </row>
    <row r="954" spans="1:5" x14ac:dyDescent="0.25">
      <c r="A954">
        <v>2057.02448</v>
      </c>
      <c r="B954">
        <v>0.97057000000000004</v>
      </c>
      <c r="D954">
        <v>2057.02448</v>
      </c>
      <c r="E954">
        <v>0.97084000000000004</v>
      </c>
    </row>
    <row r="955" spans="1:5" x14ac:dyDescent="0.25">
      <c r="A955">
        <v>2054.98378</v>
      </c>
      <c r="B955">
        <v>0.97097999999999995</v>
      </c>
      <c r="D955">
        <v>2054.98378</v>
      </c>
      <c r="E955">
        <v>0.97128000000000003</v>
      </c>
    </row>
    <row r="956" spans="1:5" x14ac:dyDescent="0.25">
      <c r="A956">
        <v>2052.94308</v>
      </c>
      <c r="B956">
        <v>0.97145000000000004</v>
      </c>
      <c r="D956">
        <v>2052.94308</v>
      </c>
      <c r="E956">
        <v>0.97189000000000003</v>
      </c>
    </row>
    <row r="957" spans="1:5" x14ac:dyDescent="0.25">
      <c r="A957">
        <v>2050.90238</v>
      </c>
      <c r="B957">
        <v>0.97197</v>
      </c>
      <c r="D957">
        <v>2050.90238</v>
      </c>
      <c r="E957">
        <v>0.97241</v>
      </c>
    </row>
    <row r="958" spans="1:5" x14ac:dyDescent="0.25">
      <c r="A958">
        <v>2048.86168</v>
      </c>
      <c r="B958">
        <v>0.97241</v>
      </c>
      <c r="D958">
        <v>2048.86168</v>
      </c>
      <c r="E958">
        <v>0.97267999999999999</v>
      </c>
    </row>
    <row r="959" spans="1:5" x14ac:dyDescent="0.25">
      <c r="A959">
        <v>2046.8209899999999</v>
      </c>
      <c r="B959">
        <v>0.97270999999999996</v>
      </c>
      <c r="D959">
        <v>2046.8209899999999</v>
      </c>
      <c r="E959">
        <v>0.9728</v>
      </c>
    </row>
    <row r="960" spans="1:5" x14ac:dyDescent="0.25">
      <c r="A960">
        <v>2044.7802899999999</v>
      </c>
      <c r="B960">
        <v>0.97302</v>
      </c>
      <c r="D960">
        <v>2044.7802899999999</v>
      </c>
      <c r="E960">
        <v>0.97299000000000002</v>
      </c>
    </row>
    <row r="961" spans="1:5" x14ac:dyDescent="0.25">
      <c r="A961">
        <v>2042.7395899999999</v>
      </c>
      <c r="B961">
        <v>0.97341999999999995</v>
      </c>
      <c r="D961">
        <v>2042.7395899999999</v>
      </c>
      <c r="E961">
        <v>0.97331999999999996</v>
      </c>
    </row>
    <row r="962" spans="1:5" x14ac:dyDescent="0.25">
      <c r="A962">
        <v>2040.6988899999999</v>
      </c>
      <c r="B962">
        <v>0.97389000000000003</v>
      </c>
      <c r="D962">
        <v>2040.6988899999999</v>
      </c>
      <c r="E962">
        <v>0.97401000000000004</v>
      </c>
    </row>
    <row r="963" spans="1:5" x14ac:dyDescent="0.25">
      <c r="A963">
        <v>2038.6581900000001</v>
      </c>
      <c r="B963">
        <v>0.97436999999999996</v>
      </c>
      <c r="D963">
        <v>2038.6581900000001</v>
      </c>
      <c r="E963">
        <v>0.97492000000000001</v>
      </c>
    </row>
    <row r="964" spans="1:5" x14ac:dyDescent="0.25">
      <c r="A964">
        <v>2036.6174900000001</v>
      </c>
      <c r="B964">
        <v>0.97489000000000003</v>
      </c>
      <c r="D964">
        <v>2036.6174900000001</v>
      </c>
      <c r="E964">
        <v>0.97541999999999995</v>
      </c>
    </row>
    <row r="965" spans="1:5" x14ac:dyDescent="0.25">
      <c r="A965">
        <v>2034.5767900000001</v>
      </c>
      <c r="B965">
        <v>0.97543999999999997</v>
      </c>
      <c r="D965">
        <v>2034.5767900000001</v>
      </c>
      <c r="E965">
        <v>0.97572999999999999</v>
      </c>
    </row>
    <row r="966" spans="1:5" x14ac:dyDescent="0.25">
      <c r="A966">
        <v>2032.5360900000001</v>
      </c>
      <c r="B966">
        <v>0.97592000000000001</v>
      </c>
      <c r="D966">
        <v>2032.5360900000001</v>
      </c>
      <c r="E966">
        <v>0.97629999999999995</v>
      </c>
    </row>
    <row r="967" spans="1:5" x14ac:dyDescent="0.25">
      <c r="A967">
        <v>2030.49539</v>
      </c>
      <c r="B967">
        <v>0.97624</v>
      </c>
      <c r="D967">
        <v>2030.49539</v>
      </c>
      <c r="E967">
        <v>0.97699000000000003</v>
      </c>
    </row>
    <row r="968" spans="1:5" x14ac:dyDescent="0.25">
      <c r="A968">
        <v>2028.4547</v>
      </c>
      <c r="B968">
        <v>0.97652000000000005</v>
      </c>
      <c r="D968">
        <v>2028.4547</v>
      </c>
      <c r="E968">
        <v>0.97733000000000003</v>
      </c>
    </row>
    <row r="969" spans="1:5" x14ac:dyDescent="0.25">
      <c r="A969">
        <v>2026.414</v>
      </c>
      <c r="B969">
        <v>0.97684000000000004</v>
      </c>
      <c r="D969">
        <v>2026.414</v>
      </c>
      <c r="E969">
        <v>0.97733000000000003</v>
      </c>
    </row>
    <row r="970" spans="1:5" x14ac:dyDescent="0.25">
      <c r="A970">
        <v>2024.3733</v>
      </c>
      <c r="B970">
        <v>0.97714000000000001</v>
      </c>
      <c r="D970">
        <v>2024.3733</v>
      </c>
      <c r="E970">
        <v>0.97736999999999996</v>
      </c>
    </row>
    <row r="971" spans="1:5" x14ac:dyDescent="0.25">
      <c r="A971">
        <v>2022.3326</v>
      </c>
      <c r="B971">
        <v>0.97743000000000002</v>
      </c>
      <c r="D971">
        <v>2022.3326</v>
      </c>
      <c r="E971">
        <v>0.97765999999999997</v>
      </c>
    </row>
    <row r="972" spans="1:5" x14ac:dyDescent="0.25">
      <c r="A972">
        <v>2020.2918999999999</v>
      </c>
      <c r="B972">
        <v>0.97779000000000005</v>
      </c>
      <c r="D972">
        <v>2020.2918999999999</v>
      </c>
      <c r="E972">
        <v>0.97770999999999997</v>
      </c>
    </row>
    <row r="973" spans="1:5" x14ac:dyDescent="0.25">
      <c r="A973">
        <v>2018.2511999999999</v>
      </c>
      <c r="B973">
        <v>0.97819999999999996</v>
      </c>
      <c r="D973">
        <v>2018.2511999999999</v>
      </c>
      <c r="E973">
        <v>0.97719999999999996</v>
      </c>
    </row>
    <row r="974" spans="1:5" x14ac:dyDescent="0.25">
      <c r="A974">
        <v>2016.2104999999999</v>
      </c>
      <c r="B974">
        <v>0.97863</v>
      </c>
      <c r="D974">
        <v>2016.2104999999999</v>
      </c>
      <c r="E974">
        <v>0.97768999999999995</v>
      </c>
    </row>
    <row r="975" spans="1:5" x14ac:dyDescent="0.25">
      <c r="A975">
        <v>2014.1697999999999</v>
      </c>
      <c r="B975">
        <v>0.97909999999999997</v>
      </c>
      <c r="D975">
        <v>2014.1697999999999</v>
      </c>
      <c r="E975">
        <v>0.97928000000000004</v>
      </c>
    </row>
    <row r="976" spans="1:5" x14ac:dyDescent="0.25">
      <c r="A976">
        <v>2012.1291000000001</v>
      </c>
      <c r="B976">
        <v>0.97970000000000002</v>
      </c>
      <c r="D976">
        <v>2012.1291000000001</v>
      </c>
      <c r="E976">
        <v>0.98026000000000002</v>
      </c>
    </row>
    <row r="977" spans="1:5" x14ac:dyDescent="0.25">
      <c r="A977">
        <v>2010.0884100000001</v>
      </c>
      <c r="B977">
        <v>0.98046</v>
      </c>
      <c r="D977">
        <v>2010.0884100000001</v>
      </c>
      <c r="E977">
        <v>0.98058999999999996</v>
      </c>
    </row>
    <row r="978" spans="1:5" x14ac:dyDescent="0.25">
      <c r="A978">
        <v>2008.0477100000001</v>
      </c>
      <c r="B978">
        <v>0.98119999999999996</v>
      </c>
      <c r="D978">
        <v>2008.0477100000001</v>
      </c>
      <c r="E978">
        <v>0.98087999999999997</v>
      </c>
    </row>
    <row r="979" spans="1:5" x14ac:dyDescent="0.25">
      <c r="A979">
        <v>2006.00701</v>
      </c>
      <c r="B979">
        <v>0.98165000000000002</v>
      </c>
      <c r="D979">
        <v>2006.00701</v>
      </c>
      <c r="E979">
        <v>0.98146999999999995</v>
      </c>
    </row>
    <row r="980" spans="1:5" x14ac:dyDescent="0.25">
      <c r="A980">
        <v>2003.96631</v>
      </c>
      <c r="B980">
        <v>0.98190999999999995</v>
      </c>
      <c r="D980">
        <v>2003.96631</v>
      </c>
      <c r="E980">
        <v>0.98219000000000001</v>
      </c>
    </row>
    <row r="981" spans="1:5" x14ac:dyDescent="0.25">
      <c r="A981">
        <v>2001.92561</v>
      </c>
      <c r="B981">
        <v>0.98209999999999997</v>
      </c>
      <c r="D981">
        <v>2001.92561</v>
      </c>
      <c r="E981">
        <v>0.98265000000000002</v>
      </c>
    </row>
    <row r="982" spans="1:5" x14ac:dyDescent="0.25">
      <c r="A982">
        <v>1999.88491</v>
      </c>
      <c r="B982">
        <v>0.98219000000000001</v>
      </c>
      <c r="D982">
        <v>1999.88491</v>
      </c>
      <c r="E982">
        <v>0.98285999999999996</v>
      </c>
    </row>
    <row r="983" spans="1:5" x14ac:dyDescent="0.25">
      <c r="A983">
        <v>1997.84421</v>
      </c>
      <c r="B983">
        <v>0.98226999999999998</v>
      </c>
      <c r="D983">
        <v>1997.84421</v>
      </c>
      <c r="E983">
        <v>0.98316999999999999</v>
      </c>
    </row>
    <row r="984" spans="1:5" x14ac:dyDescent="0.25">
      <c r="A984">
        <v>1995.80351</v>
      </c>
      <c r="B984">
        <v>0.98246999999999995</v>
      </c>
      <c r="D984">
        <v>1995.80351</v>
      </c>
      <c r="E984">
        <v>0.98304999999999998</v>
      </c>
    </row>
    <row r="985" spans="1:5" x14ac:dyDescent="0.25">
      <c r="A985">
        <v>1993.7628099999999</v>
      </c>
      <c r="B985">
        <v>0.98279000000000005</v>
      </c>
      <c r="D985">
        <v>1993.7628099999999</v>
      </c>
      <c r="E985">
        <v>0.98146</v>
      </c>
    </row>
    <row r="986" spans="1:5" x14ac:dyDescent="0.25">
      <c r="A986">
        <v>1991.7221199999999</v>
      </c>
      <c r="B986">
        <v>0.98316000000000003</v>
      </c>
      <c r="D986">
        <v>1991.7221199999999</v>
      </c>
      <c r="E986">
        <v>0.98084000000000005</v>
      </c>
    </row>
    <row r="987" spans="1:5" x14ac:dyDescent="0.25">
      <c r="A987">
        <v>1989.6814199999999</v>
      </c>
      <c r="B987">
        <v>0.98360000000000003</v>
      </c>
      <c r="D987">
        <v>1989.6814199999999</v>
      </c>
      <c r="E987">
        <v>0.98307999999999995</v>
      </c>
    </row>
    <row r="988" spans="1:5" x14ac:dyDescent="0.25">
      <c r="A988">
        <v>1987.6407200000001</v>
      </c>
      <c r="B988">
        <v>0.98416999999999999</v>
      </c>
      <c r="D988">
        <v>1987.6407200000001</v>
      </c>
      <c r="E988">
        <v>0.98492000000000002</v>
      </c>
    </row>
    <row r="989" spans="1:5" x14ac:dyDescent="0.25">
      <c r="A989">
        <v>1985.6000200000001</v>
      </c>
      <c r="B989">
        <v>0.98492000000000002</v>
      </c>
      <c r="D989">
        <v>1985.6000200000001</v>
      </c>
      <c r="E989">
        <v>0.98579000000000006</v>
      </c>
    </row>
    <row r="990" spans="1:5" x14ac:dyDescent="0.25">
      <c r="A990">
        <v>1983.5593200000001</v>
      </c>
      <c r="B990">
        <v>0.98573</v>
      </c>
      <c r="D990">
        <v>1983.5593200000001</v>
      </c>
      <c r="E990">
        <v>0.98631000000000002</v>
      </c>
    </row>
    <row r="991" spans="1:5" x14ac:dyDescent="0.25">
      <c r="A991">
        <v>1981.5186200000001</v>
      </c>
      <c r="B991">
        <v>0.98640000000000005</v>
      </c>
      <c r="D991">
        <v>1981.5186200000001</v>
      </c>
      <c r="E991">
        <v>0.98673999999999995</v>
      </c>
    </row>
    <row r="992" spans="1:5" x14ac:dyDescent="0.25">
      <c r="A992">
        <v>1979.47792</v>
      </c>
      <c r="B992">
        <v>0.98697999999999997</v>
      </c>
      <c r="D992">
        <v>1979.47792</v>
      </c>
      <c r="E992">
        <v>0.98738999999999999</v>
      </c>
    </row>
    <row r="993" spans="1:5" x14ac:dyDescent="0.25">
      <c r="A993">
        <v>1977.43722</v>
      </c>
      <c r="B993">
        <v>0.98753999999999997</v>
      </c>
      <c r="D993">
        <v>1977.43722</v>
      </c>
      <c r="E993">
        <v>0.98816999999999999</v>
      </c>
    </row>
    <row r="994" spans="1:5" x14ac:dyDescent="0.25">
      <c r="A994">
        <v>1975.39652</v>
      </c>
      <c r="B994">
        <v>0.98787999999999998</v>
      </c>
      <c r="D994">
        <v>1975.39652</v>
      </c>
      <c r="E994">
        <v>0.98865999999999998</v>
      </c>
    </row>
    <row r="995" spans="1:5" x14ac:dyDescent="0.25">
      <c r="A995">
        <v>1973.35583</v>
      </c>
      <c r="B995">
        <v>0.98799000000000003</v>
      </c>
      <c r="D995">
        <v>1973.35583</v>
      </c>
      <c r="E995">
        <v>0.98873</v>
      </c>
    </row>
    <row r="996" spans="1:5" x14ac:dyDescent="0.25">
      <c r="A996">
        <v>1971.31513</v>
      </c>
      <c r="B996">
        <v>0.98812999999999995</v>
      </c>
      <c r="D996">
        <v>1971.31513</v>
      </c>
      <c r="E996">
        <v>0.98841999999999997</v>
      </c>
    </row>
    <row r="997" spans="1:5" x14ac:dyDescent="0.25">
      <c r="A997">
        <v>1969.2744299999999</v>
      </c>
      <c r="B997">
        <v>0.98831999999999998</v>
      </c>
      <c r="D997">
        <v>1969.2744299999999</v>
      </c>
      <c r="E997">
        <v>0.98731999999999998</v>
      </c>
    </row>
    <row r="998" spans="1:5" x14ac:dyDescent="0.25">
      <c r="A998">
        <v>1967.2337299999999</v>
      </c>
      <c r="B998">
        <v>0.98855000000000004</v>
      </c>
      <c r="D998">
        <v>1967.2337299999999</v>
      </c>
      <c r="E998">
        <v>0.98667000000000005</v>
      </c>
    </row>
    <row r="999" spans="1:5" x14ac:dyDescent="0.25">
      <c r="A999">
        <v>1965.1930299999999</v>
      </c>
      <c r="B999">
        <v>0.98887000000000003</v>
      </c>
      <c r="D999">
        <v>1965.1930299999999</v>
      </c>
      <c r="E999">
        <v>0.98845000000000005</v>
      </c>
    </row>
    <row r="1000" spans="1:5" x14ac:dyDescent="0.25">
      <c r="A1000">
        <v>1963.1523299999999</v>
      </c>
      <c r="B1000">
        <v>0.98929999999999996</v>
      </c>
      <c r="D1000">
        <v>1963.1523299999999</v>
      </c>
      <c r="E1000">
        <v>0.99021000000000003</v>
      </c>
    </row>
    <row r="1001" spans="1:5" x14ac:dyDescent="0.25">
      <c r="A1001">
        <v>1961.1116300000001</v>
      </c>
      <c r="B1001">
        <v>0.98989000000000005</v>
      </c>
      <c r="D1001">
        <v>1961.1116300000001</v>
      </c>
      <c r="E1001">
        <v>0.99051</v>
      </c>
    </row>
    <row r="1002" spans="1:5" x14ac:dyDescent="0.25">
      <c r="A1002">
        <v>1959.0709300000001</v>
      </c>
      <c r="B1002">
        <v>0.99048000000000003</v>
      </c>
      <c r="D1002">
        <v>1959.0709300000001</v>
      </c>
      <c r="E1002">
        <v>0.99061999999999995</v>
      </c>
    </row>
    <row r="1003" spans="1:5" x14ac:dyDescent="0.25">
      <c r="A1003">
        <v>1957.0302300000001</v>
      </c>
      <c r="B1003">
        <v>0.99075999999999997</v>
      </c>
      <c r="D1003">
        <v>1957.0302300000001</v>
      </c>
      <c r="E1003">
        <v>0.99075000000000002</v>
      </c>
    </row>
    <row r="1004" spans="1:5" x14ac:dyDescent="0.25">
      <c r="A1004">
        <v>1954.98954</v>
      </c>
      <c r="B1004">
        <v>0.99089000000000005</v>
      </c>
      <c r="D1004">
        <v>1954.98954</v>
      </c>
      <c r="E1004">
        <v>0.99102000000000001</v>
      </c>
    </row>
    <row r="1005" spans="1:5" x14ac:dyDescent="0.25">
      <c r="A1005">
        <v>1952.94884</v>
      </c>
      <c r="B1005">
        <v>0.99112</v>
      </c>
      <c r="D1005">
        <v>1952.94884</v>
      </c>
      <c r="E1005">
        <v>0.99172000000000005</v>
      </c>
    </row>
    <row r="1006" spans="1:5" x14ac:dyDescent="0.25">
      <c r="A1006">
        <v>1950.90814</v>
      </c>
      <c r="B1006">
        <v>0.99129999999999996</v>
      </c>
      <c r="D1006">
        <v>1950.90814</v>
      </c>
      <c r="E1006">
        <v>0.99228000000000005</v>
      </c>
    </row>
    <row r="1007" spans="1:5" x14ac:dyDescent="0.25">
      <c r="A1007">
        <v>1948.86744</v>
      </c>
      <c r="B1007">
        <v>0.99131999999999998</v>
      </c>
      <c r="D1007">
        <v>1948.86744</v>
      </c>
      <c r="E1007">
        <v>0.99234</v>
      </c>
    </row>
    <row r="1008" spans="1:5" x14ac:dyDescent="0.25">
      <c r="A1008">
        <v>1946.82674</v>
      </c>
      <c r="B1008">
        <v>0.99141000000000001</v>
      </c>
      <c r="D1008">
        <v>1946.82674</v>
      </c>
      <c r="E1008">
        <v>0.99165999999999999</v>
      </c>
    </row>
    <row r="1009" spans="1:5" x14ac:dyDescent="0.25">
      <c r="A1009">
        <v>1944.78604</v>
      </c>
      <c r="B1009">
        <v>0.99165999999999999</v>
      </c>
      <c r="D1009">
        <v>1944.78604</v>
      </c>
      <c r="E1009">
        <v>0.98980999999999997</v>
      </c>
    </row>
    <row r="1010" spans="1:5" x14ac:dyDescent="0.25">
      <c r="A1010">
        <v>1942.7453399999999</v>
      </c>
      <c r="B1010">
        <v>0.99204000000000003</v>
      </c>
      <c r="D1010">
        <v>1942.7453399999999</v>
      </c>
      <c r="E1010">
        <v>0.98865000000000003</v>
      </c>
    </row>
    <row r="1011" spans="1:5" x14ac:dyDescent="0.25">
      <c r="A1011">
        <v>1940.7046399999999</v>
      </c>
      <c r="B1011">
        <v>0.99258000000000002</v>
      </c>
      <c r="D1011">
        <v>1940.7046399999999</v>
      </c>
      <c r="E1011">
        <v>0.99143000000000003</v>
      </c>
    </row>
    <row r="1012" spans="1:5" x14ac:dyDescent="0.25">
      <c r="A1012">
        <v>1938.6639399999999</v>
      </c>
      <c r="B1012">
        <v>0.99306000000000005</v>
      </c>
      <c r="D1012">
        <v>1938.6639399999999</v>
      </c>
      <c r="E1012">
        <v>0.99417999999999995</v>
      </c>
    </row>
    <row r="1013" spans="1:5" x14ac:dyDescent="0.25">
      <c r="A1013">
        <v>1936.6232500000001</v>
      </c>
      <c r="B1013">
        <v>0.99334</v>
      </c>
      <c r="D1013">
        <v>1936.6232500000001</v>
      </c>
      <c r="E1013">
        <v>0.99458000000000002</v>
      </c>
    </row>
    <row r="1014" spans="1:5" x14ac:dyDescent="0.25">
      <c r="A1014">
        <v>1934.5825500000001</v>
      </c>
      <c r="B1014">
        <v>0.99356999999999995</v>
      </c>
      <c r="D1014">
        <v>1934.5825500000001</v>
      </c>
      <c r="E1014">
        <v>0.99467000000000005</v>
      </c>
    </row>
    <row r="1015" spans="1:5" x14ac:dyDescent="0.25">
      <c r="A1015">
        <v>1932.5418500000001</v>
      </c>
      <c r="B1015">
        <v>0.99363000000000001</v>
      </c>
      <c r="D1015">
        <v>1932.5418500000001</v>
      </c>
      <c r="E1015">
        <v>0.99502000000000002</v>
      </c>
    </row>
    <row r="1016" spans="1:5" x14ac:dyDescent="0.25">
      <c r="A1016">
        <v>1930.5011500000001</v>
      </c>
      <c r="B1016">
        <v>0.99365000000000003</v>
      </c>
      <c r="D1016">
        <v>1930.5011500000001</v>
      </c>
      <c r="E1016">
        <v>0.99536000000000002</v>
      </c>
    </row>
    <row r="1017" spans="1:5" x14ac:dyDescent="0.25">
      <c r="A1017">
        <v>1928.46045</v>
      </c>
      <c r="B1017">
        <v>0.99380000000000002</v>
      </c>
      <c r="D1017">
        <v>1928.46045</v>
      </c>
      <c r="E1017">
        <v>0.99536999999999998</v>
      </c>
    </row>
    <row r="1018" spans="1:5" x14ac:dyDescent="0.25">
      <c r="A1018">
        <v>1926.41975</v>
      </c>
      <c r="B1018">
        <v>0.99387000000000003</v>
      </c>
      <c r="D1018">
        <v>1926.41975</v>
      </c>
      <c r="E1018">
        <v>0.99448999999999999</v>
      </c>
    </row>
    <row r="1019" spans="1:5" x14ac:dyDescent="0.25">
      <c r="A1019">
        <v>1924.37905</v>
      </c>
      <c r="B1019">
        <v>0.99360999999999999</v>
      </c>
      <c r="D1019">
        <v>1924.37905</v>
      </c>
      <c r="E1019">
        <v>0.99231000000000003</v>
      </c>
    </row>
    <row r="1020" spans="1:5" x14ac:dyDescent="0.25">
      <c r="A1020">
        <v>1922.33835</v>
      </c>
      <c r="B1020">
        <v>0.99336000000000002</v>
      </c>
      <c r="D1020">
        <v>1922.33835</v>
      </c>
      <c r="E1020">
        <v>0.99151999999999996</v>
      </c>
    </row>
    <row r="1021" spans="1:5" x14ac:dyDescent="0.25">
      <c r="A1021">
        <v>1920.29765</v>
      </c>
      <c r="B1021">
        <v>0.99336000000000002</v>
      </c>
      <c r="D1021">
        <v>1920.29765</v>
      </c>
      <c r="E1021">
        <v>0.99234999999999995</v>
      </c>
    </row>
    <row r="1022" spans="1:5" x14ac:dyDescent="0.25">
      <c r="A1022">
        <v>1918.2569599999999</v>
      </c>
      <c r="B1022">
        <v>0.99353000000000002</v>
      </c>
      <c r="D1022">
        <v>1918.2569599999999</v>
      </c>
      <c r="E1022">
        <v>0.99268999999999996</v>
      </c>
    </row>
    <row r="1023" spans="1:5" x14ac:dyDescent="0.25">
      <c r="A1023">
        <v>1916.2162599999999</v>
      </c>
      <c r="B1023">
        <v>0.99383999999999995</v>
      </c>
      <c r="D1023">
        <v>1916.2162599999999</v>
      </c>
      <c r="E1023">
        <v>0.99534</v>
      </c>
    </row>
    <row r="1024" spans="1:5" x14ac:dyDescent="0.25">
      <c r="A1024">
        <v>1914.1755599999999</v>
      </c>
      <c r="B1024">
        <v>0.99436999999999998</v>
      </c>
      <c r="D1024">
        <v>1914.1755599999999</v>
      </c>
      <c r="E1024">
        <v>0.99739999999999995</v>
      </c>
    </row>
    <row r="1025" spans="1:5" x14ac:dyDescent="0.25">
      <c r="A1025">
        <v>1912.1348599999999</v>
      </c>
      <c r="B1025">
        <v>0.99511000000000005</v>
      </c>
      <c r="D1025">
        <v>1912.1348599999999</v>
      </c>
      <c r="E1025">
        <v>0.99631999999999998</v>
      </c>
    </row>
    <row r="1026" spans="1:5" x14ac:dyDescent="0.25">
      <c r="A1026">
        <v>1910.0941600000001</v>
      </c>
      <c r="B1026">
        <v>0.99590000000000001</v>
      </c>
      <c r="D1026">
        <v>1910.0941600000001</v>
      </c>
      <c r="E1026">
        <v>0.99482000000000004</v>
      </c>
    </row>
    <row r="1027" spans="1:5" x14ac:dyDescent="0.25">
      <c r="A1027">
        <v>1908.0534600000001</v>
      </c>
      <c r="B1027">
        <v>0.99663000000000002</v>
      </c>
      <c r="D1027">
        <v>1908.0534600000001</v>
      </c>
      <c r="E1027">
        <v>0.99534999999999996</v>
      </c>
    </row>
    <row r="1028" spans="1:5" x14ac:dyDescent="0.25">
      <c r="A1028">
        <v>1906.0127600000001</v>
      </c>
      <c r="B1028">
        <v>0.99709999999999999</v>
      </c>
      <c r="D1028">
        <v>1906.0127600000001</v>
      </c>
      <c r="E1028">
        <v>0.99704000000000004</v>
      </c>
    </row>
    <row r="1029" spans="1:5" x14ac:dyDescent="0.25">
      <c r="A1029">
        <v>1903.9720600000001</v>
      </c>
      <c r="B1029">
        <v>0.99712000000000001</v>
      </c>
      <c r="D1029">
        <v>1903.9720600000001</v>
      </c>
      <c r="E1029">
        <v>0.99800999999999995</v>
      </c>
    </row>
    <row r="1030" spans="1:5" x14ac:dyDescent="0.25">
      <c r="A1030">
        <v>1901.93136</v>
      </c>
      <c r="B1030">
        <v>0.99690000000000001</v>
      </c>
      <c r="D1030">
        <v>1901.93136</v>
      </c>
      <c r="E1030">
        <v>0.99839999999999995</v>
      </c>
    </row>
    <row r="1031" spans="1:5" x14ac:dyDescent="0.25">
      <c r="A1031">
        <v>1899.89067</v>
      </c>
      <c r="B1031">
        <v>0.99660000000000004</v>
      </c>
      <c r="D1031">
        <v>1899.89067</v>
      </c>
      <c r="E1031">
        <v>0.99839999999999995</v>
      </c>
    </row>
    <row r="1032" spans="1:5" x14ac:dyDescent="0.25">
      <c r="A1032">
        <v>1897.84997</v>
      </c>
      <c r="B1032">
        <v>0.99653999999999998</v>
      </c>
      <c r="D1032">
        <v>1897.84997</v>
      </c>
      <c r="E1032">
        <v>0.99748999999999999</v>
      </c>
    </row>
    <row r="1033" spans="1:5" x14ac:dyDescent="0.25">
      <c r="A1033">
        <v>1895.80927</v>
      </c>
      <c r="B1033">
        <v>0.99675999999999998</v>
      </c>
      <c r="D1033">
        <v>1895.80927</v>
      </c>
      <c r="E1033">
        <v>0.99633000000000005</v>
      </c>
    </row>
    <row r="1034" spans="1:5" x14ac:dyDescent="0.25">
      <c r="A1034">
        <v>1893.76857</v>
      </c>
      <c r="B1034">
        <v>0.997</v>
      </c>
      <c r="D1034">
        <v>1893.76857</v>
      </c>
      <c r="E1034">
        <v>0.99648000000000003</v>
      </c>
    </row>
    <row r="1035" spans="1:5" x14ac:dyDescent="0.25">
      <c r="A1035">
        <v>1891.7278699999999</v>
      </c>
      <c r="B1035">
        <v>0.99714999999999998</v>
      </c>
      <c r="D1035">
        <v>1891.7278699999999</v>
      </c>
      <c r="E1035">
        <v>0.99628000000000005</v>
      </c>
    </row>
    <row r="1036" spans="1:5" x14ac:dyDescent="0.25">
      <c r="A1036">
        <v>1889.6871699999999</v>
      </c>
      <c r="B1036">
        <v>0.99741999999999997</v>
      </c>
      <c r="D1036">
        <v>1889.6871699999999</v>
      </c>
      <c r="E1036">
        <v>0.99565000000000003</v>
      </c>
    </row>
    <row r="1037" spans="1:5" x14ac:dyDescent="0.25">
      <c r="A1037">
        <v>1887.6464699999999</v>
      </c>
      <c r="B1037">
        <v>0.99802000000000002</v>
      </c>
      <c r="D1037">
        <v>1887.6464699999999</v>
      </c>
      <c r="E1037">
        <v>0.99770999999999999</v>
      </c>
    </row>
    <row r="1038" spans="1:5" x14ac:dyDescent="0.25">
      <c r="A1038">
        <v>1885.6057699999999</v>
      </c>
      <c r="B1038">
        <v>0.99868000000000001</v>
      </c>
      <c r="D1038">
        <v>1885.6057699999999</v>
      </c>
      <c r="E1038">
        <v>0.99983</v>
      </c>
    </row>
    <row r="1039" spans="1:5" x14ac:dyDescent="0.25">
      <c r="A1039">
        <v>1883.5650700000001</v>
      </c>
      <c r="B1039">
        <v>0.99883</v>
      </c>
      <c r="D1039">
        <v>1883.5650700000001</v>
      </c>
      <c r="E1039">
        <v>1.00024</v>
      </c>
    </row>
    <row r="1040" spans="1:5" x14ac:dyDescent="0.25">
      <c r="A1040">
        <v>1881.5243800000001</v>
      </c>
      <c r="B1040">
        <v>0.99853000000000003</v>
      </c>
      <c r="D1040">
        <v>1881.5243800000001</v>
      </c>
      <c r="E1040">
        <v>1.00021</v>
      </c>
    </row>
    <row r="1041" spans="1:5" x14ac:dyDescent="0.25">
      <c r="A1041">
        <v>1879.48368</v>
      </c>
      <c r="B1041">
        <v>0.99824999999999997</v>
      </c>
      <c r="D1041">
        <v>1879.48368</v>
      </c>
      <c r="E1041">
        <v>1.0001199999999999</v>
      </c>
    </row>
    <row r="1042" spans="1:5" x14ac:dyDescent="0.25">
      <c r="A1042">
        <v>1877.44298</v>
      </c>
      <c r="B1042">
        <v>0.99809000000000003</v>
      </c>
      <c r="D1042">
        <v>1877.44298</v>
      </c>
      <c r="E1042">
        <v>1.0001599999999999</v>
      </c>
    </row>
    <row r="1043" spans="1:5" x14ac:dyDescent="0.25">
      <c r="A1043">
        <v>1875.40228</v>
      </c>
      <c r="B1043">
        <v>0.99799000000000004</v>
      </c>
      <c r="D1043">
        <v>1875.40228</v>
      </c>
      <c r="E1043">
        <v>1</v>
      </c>
    </row>
    <row r="1044" spans="1:5" x14ac:dyDescent="0.25">
      <c r="A1044">
        <v>1873.36158</v>
      </c>
      <c r="B1044">
        <v>0.99780000000000002</v>
      </c>
      <c r="D1044">
        <v>1873.36158</v>
      </c>
      <c r="E1044">
        <v>0.99863999999999997</v>
      </c>
    </row>
    <row r="1045" spans="1:5" x14ac:dyDescent="0.25">
      <c r="A1045">
        <v>1871.32088</v>
      </c>
      <c r="B1045">
        <v>0.99746000000000001</v>
      </c>
      <c r="D1045">
        <v>1871.32088</v>
      </c>
      <c r="E1045">
        <v>0.99497000000000002</v>
      </c>
    </row>
    <row r="1046" spans="1:5" x14ac:dyDescent="0.25">
      <c r="A1046">
        <v>1869.28018</v>
      </c>
      <c r="B1046">
        <v>0.99731999999999998</v>
      </c>
      <c r="D1046">
        <v>1869.28018</v>
      </c>
      <c r="E1046">
        <v>0.99209000000000003</v>
      </c>
    </row>
    <row r="1047" spans="1:5" x14ac:dyDescent="0.25">
      <c r="A1047">
        <v>1867.23948</v>
      </c>
      <c r="B1047">
        <v>0.99753000000000003</v>
      </c>
      <c r="D1047">
        <v>1867.23948</v>
      </c>
      <c r="E1047">
        <v>0.99529999999999996</v>
      </c>
    </row>
    <row r="1048" spans="1:5" x14ac:dyDescent="0.25">
      <c r="A1048">
        <v>1865.1987799999999</v>
      </c>
      <c r="B1048">
        <v>0.99804999999999999</v>
      </c>
      <c r="D1048">
        <v>1865.1987799999999</v>
      </c>
      <c r="E1048">
        <v>1.0003899999999999</v>
      </c>
    </row>
    <row r="1049" spans="1:5" x14ac:dyDescent="0.25">
      <c r="A1049">
        <v>1863.1580899999999</v>
      </c>
      <c r="B1049">
        <v>0.99875999999999998</v>
      </c>
      <c r="D1049">
        <v>1863.1580899999999</v>
      </c>
      <c r="E1049">
        <v>1.0016799999999999</v>
      </c>
    </row>
    <row r="1050" spans="1:5" x14ac:dyDescent="0.25">
      <c r="A1050">
        <v>1861.1173899999999</v>
      </c>
      <c r="B1050">
        <v>0.99938000000000005</v>
      </c>
      <c r="D1050">
        <v>1861.1173899999999</v>
      </c>
      <c r="E1050">
        <v>1.00078</v>
      </c>
    </row>
    <row r="1051" spans="1:5" x14ac:dyDescent="0.25">
      <c r="A1051">
        <v>1859.0766900000001</v>
      </c>
      <c r="B1051">
        <v>0.99944</v>
      </c>
      <c r="D1051">
        <v>1859.0766900000001</v>
      </c>
      <c r="E1051">
        <v>1.00047</v>
      </c>
    </row>
    <row r="1052" spans="1:5" x14ac:dyDescent="0.25">
      <c r="A1052">
        <v>1857.0359900000001</v>
      </c>
      <c r="B1052">
        <v>0.99909999999999999</v>
      </c>
      <c r="D1052">
        <v>1857.0359900000001</v>
      </c>
      <c r="E1052">
        <v>1.0009300000000001</v>
      </c>
    </row>
    <row r="1053" spans="1:5" x14ac:dyDescent="0.25">
      <c r="A1053">
        <v>1854.9952900000001</v>
      </c>
      <c r="B1053">
        <v>0.99882000000000004</v>
      </c>
      <c r="D1053">
        <v>1854.9952900000001</v>
      </c>
      <c r="E1053">
        <v>1.0012799999999999</v>
      </c>
    </row>
    <row r="1054" spans="1:5" x14ac:dyDescent="0.25">
      <c r="A1054">
        <v>1852.9545900000001</v>
      </c>
      <c r="B1054">
        <v>0.99834999999999996</v>
      </c>
      <c r="D1054">
        <v>1852.9545900000001</v>
      </c>
      <c r="E1054">
        <v>1.0010600000000001</v>
      </c>
    </row>
    <row r="1055" spans="1:5" x14ac:dyDescent="0.25">
      <c r="A1055">
        <v>1850.91389</v>
      </c>
      <c r="B1055">
        <v>0.99748000000000003</v>
      </c>
      <c r="D1055">
        <v>1850.91389</v>
      </c>
      <c r="E1055">
        <v>0.99977000000000005</v>
      </c>
    </row>
    <row r="1056" spans="1:5" x14ac:dyDescent="0.25">
      <c r="A1056">
        <v>1848.87319</v>
      </c>
      <c r="B1056">
        <v>0.99682999999999999</v>
      </c>
      <c r="D1056">
        <v>1848.87319</v>
      </c>
      <c r="E1056">
        <v>0.99687000000000003</v>
      </c>
    </row>
    <row r="1057" spans="1:5" x14ac:dyDescent="0.25">
      <c r="A1057">
        <v>1846.83249</v>
      </c>
      <c r="B1057">
        <v>0.99666999999999994</v>
      </c>
      <c r="D1057">
        <v>1846.83249</v>
      </c>
      <c r="E1057">
        <v>0.99294000000000004</v>
      </c>
    </row>
    <row r="1058" spans="1:5" x14ac:dyDescent="0.25">
      <c r="A1058">
        <v>1844.7918</v>
      </c>
      <c r="B1058">
        <v>0.99646999999999997</v>
      </c>
      <c r="D1058">
        <v>1844.7918</v>
      </c>
      <c r="E1058">
        <v>0.99060999999999999</v>
      </c>
    </row>
    <row r="1059" spans="1:5" x14ac:dyDescent="0.25">
      <c r="A1059">
        <v>1842.7511</v>
      </c>
      <c r="B1059">
        <v>0.99609999999999999</v>
      </c>
      <c r="D1059">
        <v>1842.7511</v>
      </c>
      <c r="E1059">
        <v>0.99482000000000004</v>
      </c>
    </row>
    <row r="1060" spans="1:5" x14ac:dyDescent="0.25">
      <c r="A1060">
        <v>1840.7103999999999</v>
      </c>
      <c r="B1060">
        <v>0.99575999999999998</v>
      </c>
      <c r="D1060">
        <v>1840.7103999999999</v>
      </c>
      <c r="E1060">
        <v>1.0001899999999999</v>
      </c>
    </row>
    <row r="1061" spans="1:5" x14ac:dyDescent="0.25">
      <c r="A1061">
        <v>1838.6696999999999</v>
      </c>
      <c r="B1061">
        <v>0.99553000000000003</v>
      </c>
      <c r="D1061">
        <v>1838.6696999999999</v>
      </c>
      <c r="E1061">
        <v>1.0005900000000001</v>
      </c>
    </row>
    <row r="1062" spans="1:5" x14ac:dyDescent="0.25">
      <c r="A1062">
        <v>1836.6289999999999</v>
      </c>
      <c r="B1062">
        <v>0.99567000000000005</v>
      </c>
      <c r="D1062">
        <v>1836.6289999999999</v>
      </c>
      <c r="E1062">
        <v>0.99934000000000001</v>
      </c>
    </row>
    <row r="1063" spans="1:5" x14ac:dyDescent="0.25">
      <c r="A1063">
        <v>1834.5882999999999</v>
      </c>
      <c r="B1063">
        <v>0.99622999999999995</v>
      </c>
      <c r="D1063">
        <v>1834.5882999999999</v>
      </c>
      <c r="E1063">
        <v>0.99856</v>
      </c>
    </row>
    <row r="1064" spans="1:5" x14ac:dyDescent="0.25">
      <c r="A1064">
        <v>1832.5476000000001</v>
      </c>
      <c r="B1064">
        <v>0.99690999999999996</v>
      </c>
      <c r="D1064">
        <v>1832.5476000000001</v>
      </c>
      <c r="E1064">
        <v>0.99665000000000004</v>
      </c>
    </row>
    <row r="1065" spans="1:5" x14ac:dyDescent="0.25">
      <c r="A1065">
        <v>1830.5069000000001</v>
      </c>
      <c r="B1065">
        <v>0.99741000000000002</v>
      </c>
      <c r="D1065">
        <v>1830.5069000000001</v>
      </c>
      <c r="E1065">
        <v>0.99438000000000004</v>
      </c>
    </row>
    <row r="1066" spans="1:5" x14ac:dyDescent="0.25">
      <c r="A1066">
        <v>1828.4662000000001</v>
      </c>
      <c r="B1066">
        <v>0.99755000000000005</v>
      </c>
      <c r="D1066">
        <v>1828.4662000000001</v>
      </c>
      <c r="E1066">
        <v>0.99560000000000004</v>
      </c>
    </row>
    <row r="1067" spans="1:5" x14ac:dyDescent="0.25">
      <c r="A1067">
        <v>1826.42551</v>
      </c>
      <c r="B1067">
        <v>0.99717</v>
      </c>
      <c r="D1067">
        <v>1826.42551</v>
      </c>
      <c r="E1067">
        <v>0.99694000000000005</v>
      </c>
    </row>
    <row r="1068" spans="1:5" x14ac:dyDescent="0.25">
      <c r="A1068">
        <v>1824.38481</v>
      </c>
      <c r="B1068">
        <v>0.99673999999999996</v>
      </c>
      <c r="D1068">
        <v>1824.38481</v>
      </c>
      <c r="E1068">
        <v>0.99751999999999996</v>
      </c>
    </row>
    <row r="1069" spans="1:5" x14ac:dyDescent="0.25">
      <c r="A1069">
        <v>1822.34411</v>
      </c>
      <c r="B1069">
        <v>0.99680000000000002</v>
      </c>
      <c r="D1069">
        <v>1822.34411</v>
      </c>
      <c r="E1069">
        <v>0.99972000000000005</v>
      </c>
    </row>
    <row r="1070" spans="1:5" x14ac:dyDescent="0.25">
      <c r="A1070">
        <v>1820.30341</v>
      </c>
      <c r="B1070">
        <v>0.99731000000000003</v>
      </c>
      <c r="D1070">
        <v>1820.30341</v>
      </c>
      <c r="E1070">
        <v>0.99997999999999998</v>
      </c>
    </row>
    <row r="1071" spans="1:5" x14ac:dyDescent="0.25">
      <c r="A1071">
        <v>1818.26271</v>
      </c>
      <c r="B1071">
        <v>0.99794000000000005</v>
      </c>
      <c r="D1071">
        <v>1818.26271</v>
      </c>
      <c r="E1071">
        <v>0.99836000000000003</v>
      </c>
    </row>
    <row r="1072" spans="1:5" x14ac:dyDescent="0.25">
      <c r="A1072">
        <v>1816.22201</v>
      </c>
      <c r="B1072">
        <v>0.99817999999999996</v>
      </c>
      <c r="D1072">
        <v>1816.22201</v>
      </c>
      <c r="E1072">
        <v>0.998</v>
      </c>
    </row>
    <row r="1073" spans="1:5" x14ac:dyDescent="0.25">
      <c r="A1073">
        <v>1814.1813099999999</v>
      </c>
      <c r="B1073">
        <v>0.99773999999999996</v>
      </c>
      <c r="D1073">
        <v>1814.1813099999999</v>
      </c>
      <c r="E1073">
        <v>0.99811000000000005</v>
      </c>
    </row>
    <row r="1074" spans="1:5" x14ac:dyDescent="0.25">
      <c r="A1074">
        <v>1812.1406099999999</v>
      </c>
      <c r="B1074">
        <v>0.99685999999999997</v>
      </c>
      <c r="D1074">
        <v>1812.1406099999999</v>
      </c>
      <c r="E1074">
        <v>0.99660000000000004</v>
      </c>
    </row>
    <row r="1075" spans="1:5" x14ac:dyDescent="0.25">
      <c r="A1075">
        <v>1810.0999099999999</v>
      </c>
      <c r="B1075">
        <v>0.99604000000000004</v>
      </c>
      <c r="D1075">
        <v>1810.0999099999999</v>
      </c>
      <c r="E1075">
        <v>0.99604999999999999</v>
      </c>
    </row>
    <row r="1076" spans="1:5" x14ac:dyDescent="0.25">
      <c r="A1076">
        <v>1808.0592200000001</v>
      </c>
      <c r="B1076">
        <v>0.99492000000000003</v>
      </c>
      <c r="D1076">
        <v>1808.0592200000001</v>
      </c>
      <c r="E1076">
        <v>0.99741000000000002</v>
      </c>
    </row>
    <row r="1077" spans="1:5" x14ac:dyDescent="0.25">
      <c r="A1077">
        <v>1806.0185200000001</v>
      </c>
      <c r="B1077">
        <v>0.99324999999999997</v>
      </c>
      <c r="D1077">
        <v>1806.0185200000001</v>
      </c>
      <c r="E1077">
        <v>0.99733000000000005</v>
      </c>
    </row>
    <row r="1078" spans="1:5" x14ac:dyDescent="0.25">
      <c r="A1078">
        <v>1803.9778200000001</v>
      </c>
      <c r="B1078">
        <v>0.9919</v>
      </c>
      <c r="D1078">
        <v>1803.9778200000001</v>
      </c>
      <c r="E1078">
        <v>0.99373</v>
      </c>
    </row>
    <row r="1079" spans="1:5" x14ac:dyDescent="0.25">
      <c r="A1079">
        <v>1801.93712</v>
      </c>
      <c r="B1079">
        <v>0.99117</v>
      </c>
      <c r="D1079">
        <v>1801.93712</v>
      </c>
      <c r="E1079">
        <v>0.98939999999999995</v>
      </c>
    </row>
    <row r="1080" spans="1:5" x14ac:dyDescent="0.25">
      <c r="A1080">
        <v>1799.89642</v>
      </c>
      <c r="B1080">
        <v>0.99056999999999995</v>
      </c>
      <c r="D1080">
        <v>1799.89642</v>
      </c>
      <c r="E1080">
        <v>0.98943000000000003</v>
      </c>
    </row>
    <row r="1081" spans="1:5" x14ac:dyDescent="0.25">
      <c r="A1081">
        <v>1797.85572</v>
      </c>
      <c r="B1081">
        <v>0.99000999999999995</v>
      </c>
      <c r="D1081">
        <v>1797.85572</v>
      </c>
      <c r="E1081">
        <v>0.99173</v>
      </c>
    </row>
    <row r="1082" spans="1:5" x14ac:dyDescent="0.25">
      <c r="A1082">
        <v>1795.81502</v>
      </c>
      <c r="B1082">
        <v>0.98953999999999998</v>
      </c>
      <c r="D1082">
        <v>1795.81502</v>
      </c>
      <c r="E1082">
        <v>0.99060999999999999</v>
      </c>
    </row>
    <row r="1083" spans="1:5" x14ac:dyDescent="0.25">
      <c r="A1083">
        <v>1793.77432</v>
      </c>
      <c r="B1083">
        <v>0.98912999999999995</v>
      </c>
      <c r="D1083">
        <v>1793.77432</v>
      </c>
      <c r="E1083">
        <v>0.98670999999999998</v>
      </c>
    </row>
    <row r="1084" spans="1:5" x14ac:dyDescent="0.25">
      <c r="A1084">
        <v>1791.73362</v>
      </c>
      <c r="B1084">
        <v>0.98900999999999994</v>
      </c>
      <c r="D1084">
        <v>1791.73362</v>
      </c>
      <c r="E1084">
        <v>0.98711000000000004</v>
      </c>
    </row>
    <row r="1085" spans="1:5" x14ac:dyDescent="0.25">
      <c r="A1085">
        <v>1789.6929299999999</v>
      </c>
      <c r="B1085">
        <v>0.98931000000000002</v>
      </c>
      <c r="D1085">
        <v>1789.6929299999999</v>
      </c>
      <c r="E1085">
        <v>0.99278</v>
      </c>
    </row>
    <row r="1086" spans="1:5" x14ac:dyDescent="0.25">
      <c r="A1086">
        <v>1787.6522299999999</v>
      </c>
      <c r="B1086">
        <v>0.98946000000000001</v>
      </c>
      <c r="D1086">
        <v>1787.6522299999999</v>
      </c>
      <c r="E1086">
        <v>0.99400999999999995</v>
      </c>
    </row>
    <row r="1087" spans="1:5" x14ac:dyDescent="0.25">
      <c r="A1087">
        <v>1785.6115299999999</v>
      </c>
      <c r="B1087">
        <v>0.98902999999999996</v>
      </c>
      <c r="D1087">
        <v>1785.6115299999999</v>
      </c>
      <c r="E1087">
        <v>0.99036000000000002</v>
      </c>
    </row>
    <row r="1088" spans="1:5" x14ac:dyDescent="0.25">
      <c r="A1088">
        <v>1783.5708299999999</v>
      </c>
      <c r="B1088">
        <v>0.98812</v>
      </c>
      <c r="D1088">
        <v>1783.5708299999999</v>
      </c>
      <c r="E1088">
        <v>0.98853999999999997</v>
      </c>
    </row>
    <row r="1089" spans="1:5" x14ac:dyDescent="0.25">
      <c r="A1089">
        <v>1781.5301300000001</v>
      </c>
      <c r="B1089">
        <v>0.98719000000000001</v>
      </c>
      <c r="D1089">
        <v>1781.5301300000001</v>
      </c>
      <c r="E1089">
        <v>0.98851999999999995</v>
      </c>
    </row>
    <row r="1090" spans="1:5" x14ac:dyDescent="0.25">
      <c r="A1090">
        <v>1779.4894300000001</v>
      </c>
      <c r="B1090">
        <v>0.98675999999999997</v>
      </c>
      <c r="D1090">
        <v>1779.4894300000001</v>
      </c>
      <c r="E1090">
        <v>0.98880999999999997</v>
      </c>
    </row>
    <row r="1091" spans="1:5" x14ac:dyDescent="0.25">
      <c r="A1091">
        <v>1777.4487300000001</v>
      </c>
      <c r="B1091">
        <v>0.98629999999999995</v>
      </c>
      <c r="D1091">
        <v>1777.4487300000001</v>
      </c>
      <c r="E1091">
        <v>0.98828000000000005</v>
      </c>
    </row>
    <row r="1092" spans="1:5" x14ac:dyDescent="0.25">
      <c r="A1092">
        <v>1775.4080300000001</v>
      </c>
      <c r="B1092">
        <v>0.98523000000000005</v>
      </c>
      <c r="D1092">
        <v>1775.4080300000001</v>
      </c>
      <c r="E1092">
        <v>0.98495999999999995</v>
      </c>
    </row>
    <row r="1093" spans="1:5" x14ac:dyDescent="0.25">
      <c r="A1093">
        <v>1773.36733</v>
      </c>
      <c r="B1093">
        <v>0.98402999999999996</v>
      </c>
      <c r="D1093">
        <v>1773.36733</v>
      </c>
      <c r="E1093">
        <v>0.98092999999999997</v>
      </c>
    </row>
    <row r="1094" spans="1:5" x14ac:dyDescent="0.25">
      <c r="A1094">
        <v>1771.32664</v>
      </c>
      <c r="B1094">
        <v>0.98336000000000001</v>
      </c>
      <c r="D1094">
        <v>1771.32664</v>
      </c>
      <c r="E1094">
        <v>0.98168999999999995</v>
      </c>
    </row>
    <row r="1095" spans="1:5" x14ac:dyDescent="0.25">
      <c r="A1095">
        <v>1769.28594</v>
      </c>
      <c r="B1095">
        <v>0.98324999999999996</v>
      </c>
      <c r="D1095">
        <v>1769.28594</v>
      </c>
      <c r="E1095">
        <v>0.98451</v>
      </c>
    </row>
    <row r="1096" spans="1:5" x14ac:dyDescent="0.25">
      <c r="A1096">
        <v>1767.24524</v>
      </c>
      <c r="B1096">
        <v>0.98311999999999999</v>
      </c>
      <c r="D1096">
        <v>1767.24524</v>
      </c>
      <c r="E1096">
        <v>0.98538000000000003</v>
      </c>
    </row>
    <row r="1097" spans="1:5" x14ac:dyDescent="0.25">
      <c r="A1097">
        <v>1765.20454</v>
      </c>
      <c r="B1097">
        <v>0.98226000000000002</v>
      </c>
      <c r="D1097">
        <v>1765.20454</v>
      </c>
      <c r="E1097">
        <v>0.98512999999999995</v>
      </c>
    </row>
    <row r="1098" spans="1:5" x14ac:dyDescent="0.25">
      <c r="A1098">
        <v>1763.1638399999999</v>
      </c>
      <c r="B1098">
        <v>0.98072999999999999</v>
      </c>
      <c r="D1098">
        <v>1763.1638399999999</v>
      </c>
      <c r="E1098">
        <v>0.98155999999999999</v>
      </c>
    </row>
    <row r="1099" spans="1:5" x14ac:dyDescent="0.25">
      <c r="A1099">
        <v>1761.1231399999999</v>
      </c>
      <c r="B1099">
        <v>0.97907</v>
      </c>
      <c r="D1099">
        <v>1761.1231399999999</v>
      </c>
      <c r="E1099">
        <v>0.97931000000000001</v>
      </c>
    </row>
    <row r="1100" spans="1:5" x14ac:dyDescent="0.25">
      <c r="A1100">
        <v>1759.0824399999999</v>
      </c>
      <c r="B1100">
        <v>0.97743999999999998</v>
      </c>
      <c r="D1100">
        <v>1759.0824399999999</v>
      </c>
      <c r="E1100">
        <v>0.97946999999999995</v>
      </c>
    </row>
    <row r="1101" spans="1:5" x14ac:dyDescent="0.25">
      <c r="A1101">
        <v>1757.0417399999999</v>
      </c>
      <c r="B1101">
        <v>0.97548000000000001</v>
      </c>
      <c r="D1101">
        <v>1757.0417399999999</v>
      </c>
      <c r="E1101">
        <v>0.97801000000000005</v>
      </c>
    </row>
    <row r="1102" spans="1:5" x14ac:dyDescent="0.25">
      <c r="A1102">
        <v>1755.0010400000001</v>
      </c>
      <c r="B1102">
        <v>0.97297999999999996</v>
      </c>
      <c r="D1102">
        <v>1755.0010400000001</v>
      </c>
      <c r="E1102">
        <v>0.97667999999999999</v>
      </c>
    </row>
    <row r="1103" spans="1:5" x14ac:dyDescent="0.25">
      <c r="A1103">
        <v>1752.9603500000001</v>
      </c>
      <c r="B1103">
        <v>0.97075999999999996</v>
      </c>
      <c r="D1103">
        <v>1752.9603500000001</v>
      </c>
      <c r="E1103">
        <v>0.97130000000000005</v>
      </c>
    </row>
    <row r="1104" spans="1:5" x14ac:dyDescent="0.25">
      <c r="A1104">
        <v>1750.91965</v>
      </c>
      <c r="B1104">
        <v>0.96928999999999998</v>
      </c>
      <c r="D1104">
        <v>1750.91965</v>
      </c>
      <c r="E1104">
        <v>0.96406000000000003</v>
      </c>
    </row>
    <row r="1105" spans="1:5" x14ac:dyDescent="0.25">
      <c r="A1105">
        <v>1748.87895</v>
      </c>
      <c r="B1105">
        <v>0.96750000000000003</v>
      </c>
      <c r="D1105">
        <v>1748.87895</v>
      </c>
      <c r="E1105">
        <v>0.96382000000000001</v>
      </c>
    </row>
    <row r="1106" spans="1:5" x14ac:dyDescent="0.25">
      <c r="A1106">
        <v>1746.83825</v>
      </c>
      <c r="B1106">
        <v>0.96525000000000005</v>
      </c>
      <c r="D1106">
        <v>1746.83825</v>
      </c>
      <c r="E1106">
        <v>0.96687000000000001</v>
      </c>
    </row>
    <row r="1107" spans="1:5" x14ac:dyDescent="0.25">
      <c r="A1107">
        <v>1744.79755</v>
      </c>
      <c r="B1107">
        <v>0.96292999999999995</v>
      </c>
      <c r="D1107">
        <v>1744.79755</v>
      </c>
      <c r="E1107">
        <v>0.96684999999999999</v>
      </c>
    </row>
    <row r="1108" spans="1:5" x14ac:dyDescent="0.25">
      <c r="A1108">
        <v>1742.75685</v>
      </c>
      <c r="B1108">
        <v>0.96094999999999997</v>
      </c>
      <c r="D1108">
        <v>1742.75685</v>
      </c>
      <c r="E1108">
        <v>0.96531</v>
      </c>
    </row>
    <row r="1109" spans="1:5" x14ac:dyDescent="0.25">
      <c r="A1109">
        <v>1740.71615</v>
      </c>
      <c r="B1109">
        <v>0.95969000000000004</v>
      </c>
      <c r="D1109">
        <v>1740.71615</v>
      </c>
      <c r="E1109">
        <v>0.96443000000000001</v>
      </c>
    </row>
    <row r="1110" spans="1:5" x14ac:dyDescent="0.25">
      <c r="A1110">
        <v>1738.67545</v>
      </c>
      <c r="B1110">
        <v>0.95892999999999995</v>
      </c>
      <c r="D1110">
        <v>1738.67545</v>
      </c>
      <c r="E1110">
        <v>0.96428999999999998</v>
      </c>
    </row>
    <row r="1111" spans="1:5" x14ac:dyDescent="0.25">
      <c r="A1111">
        <v>1736.6347499999999</v>
      </c>
      <c r="B1111">
        <v>0.95865</v>
      </c>
      <c r="D1111">
        <v>1736.6347499999999</v>
      </c>
      <c r="E1111">
        <v>0.95967000000000002</v>
      </c>
    </row>
    <row r="1112" spans="1:5" x14ac:dyDescent="0.25">
      <c r="A1112">
        <v>1734.5940599999999</v>
      </c>
      <c r="B1112">
        <v>0.95823999999999998</v>
      </c>
      <c r="D1112">
        <v>1734.5940599999999</v>
      </c>
      <c r="E1112">
        <v>0.95033000000000001</v>
      </c>
    </row>
    <row r="1113" spans="1:5" x14ac:dyDescent="0.25">
      <c r="A1113">
        <v>1732.5533600000001</v>
      </c>
      <c r="B1113">
        <v>0.95635999999999999</v>
      </c>
      <c r="D1113">
        <v>1732.5533600000001</v>
      </c>
      <c r="E1113">
        <v>0.95106999999999997</v>
      </c>
    </row>
    <row r="1114" spans="1:5" x14ac:dyDescent="0.25">
      <c r="A1114">
        <v>1730.5126600000001</v>
      </c>
      <c r="B1114">
        <v>0.95320000000000005</v>
      </c>
      <c r="D1114">
        <v>1730.5126600000001</v>
      </c>
      <c r="E1114">
        <v>0.95594999999999997</v>
      </c>
    </row>
    <row r="1115" spans="1:5" x14ac:dyDescent="0.25">
      <c r="A1115">
        <v>1728.4719600000001</v>
      </c>
      <c r="B1115">
        <v>0.94981000000000004</v>
      </c>
      <c r="D1115">
        <v>1728.4719600000001</v>
      </c>
      <c r="E1115">
        <v>0.95633999999999997</v>
      </c>
    </row>
    <row r="1116" spans="1:5" x14ac:dyDescent="0.25">
      <c r="A1116">
        <v>1726.4312600000001</v>
      </c>
      <c r="B1116">
        <v>0.94659000000000004</v>
      </c>
      <c r="D1116">
        <v>1726.4312600000001</v>
      </c>
      <c r="E1116">
        <v>0.95379000000000003</v>
      </c>
    </row>
    <row r="1117" spans="1:5" x14ac:dyDescent="0.25">
      <c r="A1117">
        <v>1724.3905600000001</v>
      </c>
      <c r="B1117">
        <v>0.94357000000000002</v>
      </c>
      <c r="D1117">
        <v>1724.3905600000001</v>
      </c>
      <c r="E1117">
        <v>0.94876000000000005</v>
      </c>
    </row>
    <row r="1118" spans="1:5" x14ac:dyDescent="0.25">
      <c r="A1118">
        <v>1722.34986</v>
      </c>
      <c r="B1118">
        <v>0.94069999999999998</v>
      </c>
      <c r="D1118">
        <v>1722.34986</v>
      </c>
      <c r="E1118">
        <v>0.94347000000000003</v>
      </c>
    </row>
    <row r="1119" spans="1:5" x14ac:dyDescent="0.25">
      <c r="A1119">
        <v>1720.30916</v>
      </c>
      <c r="B1119">
        <v>0.93772999999999995</v>
      </c>
      <c r="D1119">
        <v>1720.30916</v>
      </c>
      <c r="E1119">
        <v>0.93572</v>
      </c>
    </row>
    <row r="1120" spans="1:5" x14ac:dyDescent="0.25">
      <c r="A1120">
        <v>1718.26846</v>
      </c>
      <c r="B1120">
        <v>0.93430999999999997</v>
      </c>
      <c r="D1120">
        <v>1718.26846</v>
      </c>
      <c r="E1120">
        <v>0.92581000000000002</v>
      </c>
    </row>
    <row r="1121" spans="1:5" x14ac:dyDescent="0.25">
      <c r="A1121">
        <v>1716.22777</v>
      </c>
      <c r="B1121">
        <v>0.92947999999999997</v>
      </c>
      <c r="D1121">
        <v>1716.22777</v>
      </c>
      <c r="E1121">
        <v>0.92310999999999999</v>
      </c>
    </row>
    <row r="1122" spans="1:5" x14ac:dyDescent="0.25">
      <c r="A1122">
        <v>1714.1870699999999</v>
      </c>
      <c r="B1122">
        <v>0.92361000000000004</v>
      </c>
      <c r="D1122">
        <v>1714.1870699999999</v>
      </c>
      <c r="E1122">
        <v>0.92581999999999998</v>
      </c>
    </row>
    <row r="1123" spans="1:5" x14ac:dyDescent="0.25">
      <c r="A1123">
        <v>1712.1463699999999</v>
      </c>
      <c r="B1123">
        <v>0.91779999999999995</v>
      </c>
      <c r="D1123">
        <v>1712.1463699999999</v>
      </c>
      <c r="E1123">
        <v>0.92559000000000002</v>
      </c>
    </row>
    <row r="1124" spans="1:5" x14ac:dyDescent="0.25">
      <c r="A1124">
        <v>1710.1056699999999</v>
      </c>
      <c r="B1124">
        <v>0.91205000000000003</v>
      </c>
      <c r="D1124">
        <v>1710.1056699999999</v>
      </c>
      <c r="E1124">
        <v>0.92064999999999997</v>
      </c>
    </row>
    <row r="1125" spans="1:5" x14ac:dyDescent="0.25">
      <c r="A1125">
        <v>1708.0649699999999</v>
      </c>
      <c r="B1125">
        <v>0.90673000000000004</v>
      </c>
      <c r="D1125">
        <v>1708.0649699999999</v>
      </c>
      <c r="E1125">
        <v>0.91271000000000002</v>
      </c>
    </row>
    <row r="1126" spans="1:5" x14ac:dyDescent="0.25">
      <c r="A1126">
        <v>1706.0242699999999</v>
      </c>
      <c r="B1126">
        <v>0.90197000000000005</v>
      </c>
      <c r="D1126">
        <v>1706.0242699999999</v>
      </c>
      <c r="E1126">
        <v>0.90378000000000003</v>
      </c>
    </row>
    <row r="1127" spans="1:5" x14ac:dyDescent="0.25">
      <c r="A1127">
        <v>1703.9835700000001</v>
      </c>
      <c r="B1127">
        <v>0.89732999999999996</v>
      </c>
      <c r="D1127">
        <v>1703.9835700000001</v>
      </c>
      <c r="E1127">
        <v>0.89695999999999998</v>
      </c>
    </row>
    <row r="1128" spans="1:5" x14ac:dyDescent="0.25">
      <c r="A1128">
        <v>1701.9428700000001</v>
      </c>
      <c r="B1128">
        <v>0.89231000000000005</v>
      </c>
      <c r="D1128">
        <v>1701.9428700000001</v>
      </c>
      <c r="E1128">
        <v>0.88776999999999995</v>
      </c>
    </row>
    <row r="1129" spans="1:5" x14ac:dyDescent="0.25">
      <c r="A1129">
        <v>1699.9021700000001</v>
      </c>
      <c r="B1129">
        <v>0.88593999999999995</v>
      </c>
      <c r="D1129">
        <v>1699.9021700000001</v>
      </c>
      <c r="E1129">
        <v>0.87970000000000004</v>
      </c>
    </row>
    <row r="1130" spans="1:5" x14ac:dyDescent="0.25">
      <c r="A1130">
        <v>1697.86148</v>
      </c>
      <c r="B1130">
        <v>0.87838000000000005</v>
      </c>
      <c r="D1130">
        <v>1697.86148</v>
      </c>
      <c r="E1130">
        <v>0.87778</v>
      </c>
    </row>
    <row r="1131" spans="1:5" x14ac:dyDescent="0.25">
      <c r="A1131">
        <v>1695.82078</v>
      </c>
      <c r="B1131">
        <v>0.87105999999999995</v>
      </c>
      <c r="D1131">
        <v>1695.82078</v>
      </c>
      <c r="E1131">
        <v>0.87402000000000002</v>
      </c>
    </row>
    <row r="1132" spans="1:5" x14ac:dyDescent="0.25">
      <c r="A1132">
        <v>1693.78008</v>
      </c>
      <c r="B1132">
        <v>0.86448000000000003</v>
      </c>
      <c r="D1132">
        <v>1693.78008</v>
      </c>
      <c r="E1132">
        <v>0.87217999999999996</v>
      </c>
    </row>
    <row r="1133" spans="1:5" x14ac:dyDescent="0.25">
      <c r="A1133">
        <v>1691.73938</v>
      </c>
      <c r="B1133">
        <v>0.85828000000000004</v>
      </c>
      <c r="D1133">
        <v>1691.73938</v>
      </c>
      <c r="E1133">
        <v>0.86565000000000003</v>
      </c>
    </row>
    <row r="1134" spans="1:5" x14ac:dyDescent="0.25">
      <c r="A1134">
        <v>1689.69868</v>
      </c>
      <c r="B1134">
        <v>0.85182999999999998</v>
      </c>
      <c r="D1134">
        <v>1689.69868</v>
      </c>
      <c r="E1134">
        <v>0.85414000000000001</v>
      </c>
    </row>
    <row r="1135" spans="1:5" x14ac:dyDescent="0.25">
      <c r="A1135">
        <v>1687.65798</v>
      </c>
      <c r="B1135">
        <v>0.84514999999999996</v>
      </c>
      <c r="D1135">
        <v>1687.65798</v>
      </c>
      <c r="E1135">
        <v>0.84394999999999998</v>
      </c>
    </row>
    <row r="1136" spans="1:5" x14ac:dyDescent="0.25">
      <c r="A1136">
        <v>1685.6172799999999</v>
      </c>
      <c r="B1136">
        <v>0.83842000000000005</v>
      </c>
      <c r="D1136">
        <v>1685.6172799999999</v>
      </c>
      <c r="E1136">
        <v>0.83262000000000003</v>
      </c>
    </row>
    <row r="1137" spans="1:5" x14ac:dyDescent="0.25">
      <c r="A1137">
        <v>1683.5765799999999</v>
      </c>
      <c r="B1137">
        <v>0.83091000000000004</v>
      </c>
      <c r="D1137">
        <v>1683.5765799999999</v>
      </c>
      <c r="E1137">
        <v>0.82482999999999995</v>
      </c>
    </row>
    <row r="1138" spans="1:5" x14ac:dyDescent="0.25">
      <c r="A1138">
        <v>1681.5358799999999</v>
      </c>
      <c r="B1138">
        <v>0.82291999999999998</v>
      </c>
      <c r="D1138">
        <v>1681.5358799999999</v>
      </c>
      <c r="E1138">
        <v>0.82384000000000002</v>
      </c>
    </row>
    <row r="1139" spans="1:5" x14ac:dyDescent="0.25">
      <c r="A1139">
        <v>1679.4951900000001</v>
      </c>
      <c r="B1139">
        <v>0.81542999999999999</v>
      </c>
      <c r="D1139">
        <v>1679.4951900000001</v>
      </c>
      <c r="E1139">
        <v>0.81908000000000003</v>
      </c>
    </row>
    <row r="1140" spans="1:5" x14ac:dyDescent="0.25">
      <c r="A1140">
        <v>1677.4544900000001</v>
      </c>
      <c r="B1140">
        <v>0.80815000000000003</v>
      </c>
      <c r="D1140">
        <v>1677.4544900000001</v>
      </c>
      <c r="E1140">
        <v>0.80964999999999998</v>
      </c>
    </row>
    <row r="1141" spans="1:5" x14ac:dyDescent="0.25">
      <c r="A1141">
        <v>1675.4137900000001</v>
      </c>
      <c r="B1141">
        <v>0.80137000000000003</v>
      </c>
      <c r="D1141">
        <v>1675.4137900000001</v>
      </c>
      <c r="E1141">
        <v>0.79979</v>
      </c>
    </row>
    <row r="1142" spans="1:5" x14ac:dyDescent="0.25">
      <c r="A1142">
        <v>1673.37309</v>
      </c>
      <c r="B1142">
        <v>0.79515000000000002</v>
      </c>
      <c r="D1142">
        <v>1673.37309</v>
      </c>
      <c r="E1142">
        <v>0.79376999999999998</v>
      </c>
    </row>
    <row r="1143" spans="1:5" x14ac:dyDescent="0.25">
      <c r="A1143">
        <v>1671.33239</v>
      </c>
      <c r="B1143">
        <v>0.78908999999999996</v>
      </c>
      <c r="D1143">
        <v>1671.33239</v>
      </c>
      <c r="E1143">
        <v>0.78563000000000005</v>
      </c>
    </row>
    <row r="1144" spans="1:5" x14ac:dyDescent="0.25">
      <c r="A1144">
        <v>1669.29169</v>
      </c>
      <c r="B1144">
        <v>0.78236000000000006</v>
      </c>
      <c r="D1144">
        <v>1669.29169</v>
      </c>
      <c r="E1144">
        <v>0.77622000000000002</v>
      </c>
    </row>
    <row r="1145" spans="1:5" x14ac:dyDescent="0.25">
      <c r="A1145">
        <v>1667.25099</v>
      </c>
      <c r="B1145">
        <v>0.77385000000000004</v>
      </c>
      <c r="D1145">
        <v>1667.25099</v>
      </c>
      <c r="E1145">
        <v>0.77159</v>
      </c>
    </row>
    <row r="1146" spans="1:5" x14ac:dyDescent="0.25">
      <c r="A1146">
        <v>1665.21029</v>
      </c>
      <c r="B1146">
        <v>0.76493</v>
      </c>
      <c r="D1146">
        <v>1665.21029</v>
      </c>
      <c r="E1146">
        <v>0.76515999999999995</v>
      </c>
    </row>
    <row r="1147" spans="1:5" x14ac:dyDescent="0.25">
      <c r="A1147">
        <v>1663.16959</v>
      </c>
      <c r="B1147">
        <v>0.75680999999999998</v>
      </c>
      <c r="D1147">
        <v>1663.16959</v>
      </c>
      <c r="E1147">
        <v>0.75466999999999995</v>
      </c>
    </row>
    <row r="1148" spans="1:5" x14ac:dyDescent="0.25">
      <c r="A1148">
        <v>1661.1288999999999</v>
      </c>
      <c r="B1148">
        <v>0.74878999999999996</v>
      </c>
      <c r="D1148">
        <v>1661.1288999999999</v>
      </c>
      <c r="E1148">
        <v>0.74675999999999998</v>
      </c>
    </row>
    <row r="1149" spans="1:5" x14ac:dyDescent="0.25">
      <c r="A1149">
        <v>1659.0881999999999</v>
      </c>
      <c r="B1149">
        <v>0.74080999999999997</v>
      </c>
      <c r="D1149">
        <v>1659.0881999999999</v>
      </c>
      <c r="E1149">
        <v>0.74012999999999995</v>
      </c>
    </row>
    <row r="1150" spans="1:5" x14ac:dyDescent="0.25">
      <c r="A1150">
        <v>1657.0474999999999</v>
      </c>
      <c r="B1150">
        <v>0.73336000000000001</v>
      </c>
      <c r="D1150">
        <v>1657.0474999999999</v>
      </c>
      <c r="E1150">
        <v>0.73018000000000005</v>
      </c>
    </row>
    <row r="1151" spans="1:5" x14ac:dyDescent="0.25">
      <c r="A1151">
        <v>1655.0068000000001</v>
      </c>
      <c r="B1151">
        <v>0.72685999999999995</v>
      </c>
      <c r="D1151">
        <v>1655.0068000000001</v>
      </c>
      <c r="E1151">
        <v>0.71623999999999999</v>
      </c>
    </row>
    <row r="1152" spans="1:5" x14ac:dyDescent="0.25">
      <c r="A1152">
        <v>1652.9661000000001</v>
      </c>
      <c r="B1152">
        <v>0.72084999999999999</v>
      </c>
      <c r="D1152">
        <v>1652.9661000000001</v>
      </c>
      <c r="E1152">
        <v>0.70816999999999997</v>
      </c>
    </row>
    <row r="1153" spans="1:5" x14ac:dyDescent="0.25">
      <c r="A1153">
        <v>1650.9254000000001</v>
      </c>
      <c r="B1153">
        <v>0.71460999999999997</v>
      </c>
      <c r="D1153">
        <v>1650.9254000000001</v>
      </c>
      <c r="E1153">
        <v>0.71228000000000002</v>
      </c>
    </row>
    <row r="1154" spans="1:5" x14ac:dyDescent="0.25">
      <c r="A1154">
        <v>1648.8847000000001</v>
      </c>
      <c r="B1154">
        <v>0.70896000000000003</v>
      </c>
      <c r="D1154">
        <v>1648.8847000000001</v>
      </c>
      <c r="E1154">
        <v>0.70845999999999998</v>
      </c>
    </row>
    <row r="1155" spans="1:5" x14ac:dyDescent="0.25">
      <c r="A1155">
        <v>1646.8440000000001</v>
      </c>
      <c r="B1155">
        <v>0.70477999999999996</v>
      </c>
      <c r="D1155">
        <v>1646.8440000000001</v>
      </c>
      <c r="E1155">
        <v>0.69994000000000001</v>
      </c>
    </row>
    <row r="1156" spans="1:5" x14ac:dyDescent="0.25">
      <c r="A1156">
        <v>1644.8033</v>
      </c>
      <c r="B1156">
        <v>0.70179000000000002</v>
      </c>
      <c r="D1156">
        <v>1644.8033</v>
      </c>
      <c r="E1156">
        <v>0.69964999999999999</v>
      </c>
    </row>
    <row r="1157" spans="1:5" x14ac:dyDescent="0.25">
      <c r="A1157">
        <v>1642.76261</v>
      </c>
      <c r="B1157">
        <v>0.69982999999999995</v>
      </c>
      <c r="D1157">
        <v>1642.76261</v>
      </c>
      <c r="E1157">
        <v>0.69967000000000001</v>
      </c>
    </row>
    <row r="1158" spans="1:5" x14ac:dyDescent="0.25">
      <c r="A1158">
        <v>1640.72191</v>
      </c>
      <c r="B1158">
        <v>0.69899</v>
      </c>
      <c r="D1158">
        <v>1640.72191</v>
      </c>
      <c r="E1158">
        <v>0.69503000000000004</v>
      </c>
    </row>
    <row r="1159" spans="1:5" x14ac:dyDescent="0.25">
      <c r="A1159">
        <v>1638.68121</v>
      </c>
      <c r="B1159">
        <v>0.69882999999999995</v>
      </c>
      <c r="D1159">
        <v>1638.68121</v>
      </c>
      <c r="E1159">
        <v>0.68923000000000001</v>
      </c>
    </row>
    <row r="1160" spans="1:5" x14ac:dyDescent="0.25">
      <c r="A1160">
        <v>1636.6405099999999</v>
      </c>
      <c r="B1160">
        <v>0.69877</v>
      </c>
      <c r="D1160">
        <v>1636.6405099999999</v>
      </c>
      <c r="E1160">
        <v>0.68630000000000002</v>
      </c>
    </row>
    <row r="1161" spans="1:5" x14ac:dyDescent="0.25">
      <c r="A1161">
        <v>1634.5998099999999</v>
      </c>
      <c r="B1161">
        <v>0.69935999999999998</v>
      </c>
      <c r="D1161">
        <v>1634.5998099999999</v>
      </c>
      <c r="E1161">
        <v>0.69252000000000002</v>
      </c>
    </row>
    <row r="1162" spans="1:5" x14ac:dyDescent="0.25">
      <c r="A1162">
        <v>1632.5591099999999</v>
      </c>
      <c r="B1162">
        <v>0.70145999999999997</v>
      </c>
      <c r="D1162">
        <v>1632.5591099999999</v>
      </c>
      <c r="E1162">
        <v>0.70091000000000003</v>
      </c>
    </row>
    <row r="1163" spans="1:5" x14ac:dyDescent="0.25">
      <c r="A1163">
        <v>1630.5184099999999</v>
      </c>
      <c r="B1163">
        <v>0.70445000000000002</v>
      </c>
      <c r="D1163">
        <v>1630.5184099999999</v>
      </c>
      <c r="E1163">
        <v>0.70255000000000001</v>
      </c>
    </row>
    <row r="1164" spans="1:5" x14ac:dyDescent="0.25">
      <c r="A1164">
        <v>1628.4777099999999</v>
      </c>
      <c r="B1164">
        <v>0.70847000000000004</v>
      </c>
      <c r="D1164">
        <v>1628.4777099999999</v>
      </c>
      <c r="E1164">
        <v>0.70313000000000003</v>
      </c>
    </row>
    <row r="1165" spans="1:5" x14ac:dyDescent="0.25">
      <c r="A1165">
        <v>1626.4370100000001</v>
      </c>
      <c r="B1165">
        <v>0.71428000000000003</v>
      </c>
      <c r="D1165">
        <v>1626.4370100000001</v>
      </c>
      <c r="E1165">
        <v>0.70765999999999996</v>
      </c>
    </row>
    <row r="1166" spans="1:5" x14ac:dyDescent="0.25">
      <c r="A1166">
        <v>1624.3963200000001</v>
      </c>
      <c r="B1166">
        <v>0.72150999999999998</v>
      </c>
      <c r="D1166">
        <v>1624.3963200000001</v>
      </c>
      <c r="E1166">
        <v>0.71379000000000004</v>
      </c>
    </row>
    <row r="1167" spans="1:5" x14ac:dyDescent="0.25">
      <c r="A1167">
        <v>1622.35562</v>
      </c>
      <c r="B1167">
        <v>0.72941</v>
      </c>
      <c r="D1167">
        <v>1622.35562</v>
      </c>
      <c r="E1167">
        <v>0.72243000000000002</v>
      </c>
    </row>
    <row r="1168" spans="1:5" x14ac:dyDescent="0.25">
      <c r="A1168">
        <v>1620.31492</v>
      </c>
      <c r="B1168">
        <v>0.73753999999999997</v>
      </c>
      <c r="D1168">
        <v>1620.31492</v>
      </c>
      <c r="E1168">
        <v>0.73168</v>
      </c>
    </row>
    <row r="1169" spans="1:5" x14ac:dyDescent="0.25">
      <c r="A1169">
        <v>1618.27422</v>
      </c>
      <c r="B1169">
        <v>0.74573999999999996</v>
      </c>
      <c r="D1169">
        <v>1618.27422</v>
      </c>
      <c r="E1169">
        <v>0.73819999999999997</v>
      </c>
    </row>
    <row r="1170" spans="1:5" x14ac:dyDescent="0.25">
      <c r="A1170">
        <v>1616.23352</v>
      </c>
      <c r="B1170">
        <v>0.75463999999999998</v>
      </c>
      <c r="D1170">
        <v>1616.23352</v>
      </c>
      <c r="E1170">
        <v>0.74963000000000002</v>
      </c>
    </row>
    <row r="1171" spans="1:5" x14ac:dyDescent="0.25">
      <c r="A1171">
        <v>1614.19282</v>
      </c>
      <c r="B1171">
        <v>0.76451000000000002</v>
      </c>
      <c r="D1171">
        <v>1614.19282</v>
      </c>
      <c r="E1171">
        <v>0.76480000000000004</v>
      </c>
    </row>
    <row r="1172" spans="1:5" x14ac:dyDescent="0.25">
      <c r="A1172">
        <v>1612.15212</v>
      </c>
      <c r="B1172">
        <v>0.77459</v>
      </c>
      <c r="D1172">
        <v>1612.15212</v>
      </c>
      <c r="E1172">
        <v>0.77344000000000002</v>
      </c>
    </row>
    <row r="1173" spans="1:5" x14ac:dyDescent="0.25">
      <c r="A1173">
        <v>1610.11142</v>
      </c>
      <c r="B1173">
        <v>0.78430999999999995</v>
      </c>
      <c r="D1173">
        <v>1610.11142</v>
      </c>
      <c r="E1173">
        <v>0.77920999999999996</v>
      </c>
    </row>
    <row r="1174" spans="1:5" x14ac:dyDescent="0.25">
      <c r="A1174">
        <v>1608.0707199999999</v>
      </c>
      <c r="B1174">
        <v>0.79366000000000003</v>
      </c>
      <c r="D1174">
        <v>1608.0707199999999</v>
      </c>
      <c r="E1174">
        <v>0.78776000000000002</v>
      </c>
    </row>
    <row r="1175" spans="1:5" x14ac:dyDescent="0.25">
      <c r="A1175">
        <v>1606.0300299999999</v>
      </c>
      <c r="B1175">
        <v>0.80257999999999996</v>
      </c>
      <c r="D1175">
        <v>1606.0300299999999</v>
      </c>
      <c r="E1175">
        <v>0.79781000000000002</v>
      </c>
    </row>
    <row r="1176" spans="1:5" x14ac:dyDescent="0.25">
      <c r="A1176">
        <v>1603.9893300000001</v>
      </c>
      <c r="B1176">
        <v>0.81115999999999999</v>
      </c>
      <c r="D1176">
        <v>1603.9893300000001</v>
      </c>
      <c r="E1176">
        <v>0.80688000000000004</v>
      </c>
    </row>
    <row r="1177" spans="1:5" x14ac:dyDescent="0.25">
      <c r="A1177">
        <v>1601.9486300000001</v>
      </c>
      <c r="B1177">
        <v>0.81942000000000004</v>
      </c>
      <c r="D1177">
        <v>1601.9486300000001</v>
      </c>
      <c r="E1177">
        <v>0.81542999999999999</v>
      </c>
    </row>
    <row r="1178" spans="1:5" x14ac:dyDescent="0.25">
      <c r="A1178">
        <v>1599.9079300000001</v>
      </c>
      <c r="B1178">
        <v>0.82699999999999996</v>
      </c>
      <c r="D1178">
        <v>1599.9079300000001</v>
      </c>
      <c r="E1178">
        <v>0.82384999999999997</v>
      </c>
    </row>
    <row r="1179" spans="1:5" x14ac:dyDescent="0.25">
      <c r="A1179">
        <v>1597.8672300000001</v>
      </c>
      <c r="B1179">
        <v>0.83426</v>
      </c>
      <c r="D1179">
        <v>1597.8672300000001</v>
      </c>
      <c r="E1179">
        <v>0.83113999999999999</v>
      </c>
    </row>
    <row r="1180" spans="1:5" x14ac:dyDescent="0.25">
      <c r="A1180">
        <v>1595.82653</v>
      </c>
      <c r="B1180">
        <v>0.84174000000000004</v>
      </c>
      <c r="D1180">
        <v>1595.82653</v>
      </c>
      <c r="E1180">
        <v>0.83757999999999999</v>
      </c>
    </row>
    <row r="1181" spans="1:5" x14ac:dyDescent="0.25">
      <c r="A1181">
        <v>1593.78583</v>
      </c>
      <c r="B1181">
        <v>0.84889999999999999</v>
      </c>
      <c r="D1181">
        <v>1593.78583</v>
      </c>
      <c r="E1181">
        <v>0.84431</v>
      </c>
    </row>
    <row r="1182" spans="1:5" x14ac:dyDescent="0.25">
      <c r="A1182">
        <v>1591.74513</v>
      </c>
      <c r="B1182">
        <v>0.85485</v>
      </c>
      <c r="D1182">
        <v>1591.74513</v>
      </c>
      <c r="E1182">
        <v>0.85099000000000002</v>
      </c>
    </row>
    <row r="1183" spans="1:5" x14ac:dyDescent="0.25">
      <c r="A1183">
        <v>1589.70443</v>
      </c>
      <c r="B1183">
        <v>0.85972999999999999</v>
      </c>
      <c r="D1183">
        <v>1589.70443</v>
      </c>
      <c r="E1183">
        <v>0.85704999999999998</v>
      </c>
    </row>
    <row r="1184" spans="1:5" x14ac:dyDescent="0.25">
      <c r="A1184">
        <v>1587.66374</v>
      </c>
      <c r="B1184">
        <v>0.86451999999999996</v>
      </c>
      <c r="D1184">
        <v>1587.66374</v>
      </c>
      <c r="E1184">
        <v>0.86268</v>
      </c>
    </row>
    <row r="1185" spans="1:5" x14ac:dyDescent="0.25">
      <c r="A1185">
        <v>1585.6230399999999</v>
      </c>
      <c r="B1185">
        <v>0.86907000000000001</v>
      </c>
      <c r="D1185">
        <v>1585.6230399999999</v>
      </c>
      <c r="E1185">
        <v>0.86751999999999996</v>
      </c>
    </row>
    <row r="1186" spans="1:5" x14ac:dyDescent="0.25">
      <c r="A1186">
        <v>1583.5823399999999</v>
      </c>
      <c r="B1186">
        <v>0.87285999999999997</v>
      </c>
      <c r="D1186">
        <v>1583.5823399999999</v>
      </c>
      <c r="E1186">
        <v>0.87124999999999997</v>
      </c>
    </row>
    <row r="1187" spans="1:5" x14ac:dyDescent="0.25">
      <c r="A1187">
        <v>1581.5416399999999</v>
      </c>
      <c r="B1187">
        <v>0.87633000000000005</v>
      </c>
      <c r="D1187">
        <v>1581.5416399999999</v>
      </c>
      <c r="E1187">
        <v>0.874</v>
      </c>
    </row>
    <row r="1188" spans="1:5" x14ac:dyDescent="0.25">
      <c r="A1188">
        <v>1579.5009399999999</v>
      </c>
      <c r="B1188">
        <v>0.87975999999999999</v>
      </c>
      <c r="D1188">
        <v>1579.5009399999999</v>
      </c>
      <c r="E1188">
        <v>0.87519999999999998</v>
      </c>
    </row>
    <row r="1189" spans="1:5" x14ac:dyDescent="0.25">
      <c r="A1189">
        <v>1577.4602400000001</v>
      </c>
      <c r="B1189">
        <v>0.88329999999999997</v>
      </c>
      <c r="D1189">
        <v>1577.4602400000001</v>
      </c>
      <c r="E1189">
        <v>0.87504000000000004</v>
      </c>
    </row>
    <row r="1190" spans="1:5" x14ac:dyDescent="0.25">
      <c r="A1190">
        <v>1575.4195400000001</v>
      </c>
      <c r="B1190">
        <v>0.88632</v>
      </c>
      <c r="D1190">
        <v>1575.4195400000001</v>
      </c>
      <c r="E1190">
        <v>0.88027999999999995</v>
      </c>
    </row>
    <row r="1191" spans="1:5" x14ac:dyDescent="0.25">
      <c r="A1191">
        <v>1573.3788400000001</v>
      </c>
      <c r="B1191">
        <v>0.88744000000000001</v>
      </c>
      <c r="D1191">
        <v>1573.3788400000001</v>
      </c>
      <c r="E1191">
        <v>0.88800999999999997</v>
      </c>
    </row>
    <row r="1192" spans="1:5" x14ac:dyDescent="0.25">
      <c r="A1192">
        <v>1571.3381400000001</v>
      </c>
      <c r="B1192">
        <v>0.88783000000000001</v>
      </c>
      <c r="D1192">
        <v>1571.3381400000001</v>
      </c>
      <c r="E1192">
        <v>0.88748000000000005</v>
      </c>
    </row>
    <row r="1193" spans="1:5" x14ac:dyDescent="0.25">
      <c r="A1193">
        <v>1569.29745</v>
      </c>
      <c r="B1193">
        <v>0.88868000000000003</v>
      </c>
      <c r="D1193">
        <v>1569.29745</v>
      </c>
      <c r="E1193">
        <v>0.88663000000000003</v>
      </c>
    </row>
    <row r="1194" spans="1:5" x14ac:dyDescent="0.25">
      <c r="A1194">
        <v>1567.25675</v>
      </c>
      <c r="B1194">
        <v>0.88997999999999999</v>
      </c>
      <c r="D1194">
        <v>1567.25675</v>
      </c>
      <c r="E1194">
        <v>0.89141000000000004</v>
      </c>
    </row>
    <row r="1195" spans="1:5" x14ac:dyDescent="0.25">
      <c r="A1195">
        <v>1565.21605</v>
      </c>
      <c r="B1195">
        <v>0.89137999999999995</v>
      </c>
      <c r="D1195">
        <v>1565.21605</v>
      </c>
      <c r="E1195">
        <v>0.89327000000000001</v>
      </c>
    </row>
    <row r="1196" spans="1:5" x14ac:dyDescent="0.25">
      <c r="A1196">
        <v>1563.17535</v>
      </c>
      <c r="B1196">
        <v>0.89287000000000005</v>
      </c>
      <c r="D1196">
        <v>1563.17535</v>
      </c>
      <c r="E1196">
        <v>0.89083999999999997</v>
      </c>
    </row>
    <row r="1197" spans="1:5" x14ac:dyDescent="0.25">
      <c r="A1197">
        <v>1561.13465</v>
      </c>
      <c r="B1197">
        <v>0.89444999999999997</v>
      </c>
      <c r="D1197">
        <v>1561.13465</v>
      </c>
      <c r="E1197">
        <v>0.88243000000000005</v>
      </c>
    </row>
    <row r="1198" spans="1:5" x14ac:dyDescent="0.25">
      <c r="A1198">
        <v>1559.0939499999999</v>
      </c>
      <c r="B1198">
        <v>0.89542999999999995</v>
      </c>
      <c r="D1198">
        <v>1559.0939499999999</v>
      </c>
      <c r="E1198">
        <v>0.87797999999999998</v>
      </c>
    </row>
    <row r="1199" spans="1:5" x14ac:dyDescent="0.25">
      <c r="A1199">
        <v>1557.0532499999999</v>
      </c>
      <c r="B1199">
        <v>0.89563000000000004</v>
      </c>
      <c r="D1199">
        <v>1557.0532499999999</v>
      </c>
      <c r="E1199">
        <v>0.89239999999999997</v>
      </c>
    </row>
    <row r="1200" spans="1:5" x14ac:dyDescent="0.25">
      <c r="A1200">
        <v>1555.0125499999999</v>
      </c>
      <c r="B1200">
        <v>0.89537999999999995</v>
      </c>
      <c r="D1200">
        <v>1555.0125499999999</v>
      </c>
      <c r="E1200">
        <v>0.90154000000000001</v>
      </c>
    </row>
    <row r="1201" spans="1:5" x14ac:dyDescent="0.25">
      <c r="A1201">
        <v>1552.9718499999999</v>
      </c>
      <c r="B1201">
        <v>0.89525999999999994</v>
      </c>
      <c r="D1201">
        <v>1552.9718499999999</v>
      </c>
      <c r="E1201">
        <v>0.90064999999999995</v>
      </c>
    </row>
    <row r="1202" spans="1:5" x14ac:dyDescent="0.25">
      <c r="A1202">
        <v>1550.9311600000001</v>
      </c>
      <c r="B1202">
        <v>0.89629999999999999</v>
      </c>
      <c r="D1202">
        <v>1550.9311600000001</v>
      </c>
      <c r="E1202">
        <v>0.89878000000000002</v>
      </c>
    </row>
    <row r="1203" spans="1:5" x14ac:dyDescent="0.25">
      <c r="A1203">
        <v>1548.8904600000001</v>
      </c>
      <c r="B1203">
        <v>0.89842</v>
      </c>
      <c r="D1203">
        <v>1548.8904600000001</v>
      </c>
      <c r="E1203">
        <v>0.89925999999999995</v>
      </c>
    </row>
    <row r="1204" spans="1:5" x14ac:dyDescent="0.25">
      <c r="A1204">
        <v>1546.8497600000001</v>
      </c>
      <c r="B1204">
        <v>0.90097000000000005</v>
      </c>
      <c r="D1204">
        <v>1546.8497600000001</v>
      </c>
      <c r="E1204">
        <v>0.89856999999999998</v>
      </c>
    </row>
    <row r="1205" spans="1:5" x14ac:dyDescent="0.25">
      <c r="A1205">
        <v>1544.80906</v>
      </c>
      <c r="B1205">
        <v>0.90395999999999999</v>
      </c>
      <c r="D1205">
        <v>1544.80906</v>
      </c>
      <c r="E1205">
        <v>0.89371999999999996</v>
      </c>
    </row>
    <row r="1206" spans="1:5" x14ac:dyDescent="0.25">
      <c r="A1206">
        <v>1542.76836</v>
      </c>
      <c r="B1206">
        <v>0.90639000000000003</v>
      </c>
      <c r="D1206">
        <v>1542.76836</v>
      </c>
      <c r="E1206">
        <v>0.89192000000000005</v>
      </c>
    </row>
    <row r="1207" spans="1:5" x14ac:dyDescent="0.25">
      <c r="A1207">
        <v>1540.72766</v>
      </c>
      <c r="B1207">
        <v>0.90768000000000004</v>
      </c>
      <c r="D1207">
        <v>1540.72766</v>
      </c>
      <c r="E1207">
        <v>0.89859999999999995</v>
      </c>
    </row>
    <row r="1208" spans="1:5" x14ac:dyDescent="0.25">
      <c r="A1208">
        <v>1538.68696</v>
      </c>
      <c r="B1208">
        <v>0.90959000000000001</v>
      </c>
      <c r="D1208">
        <v>1538.68696</v>
      </c>
      <c r="E1208">
        <v>0.91374999999999995</v>
      </c>
    </row>
    <row r="1209" spans="1:5" x14ac:dyDescent="0.25">
      <c r="A1209">
        <v>1536.64626</v>
      </c>
      <c r="B1209">
        <v>0.91185000000000005</v>
      </c>
      <c r="D1209">
        <v>1536.64626</v>
      </c>
      <c r="E1209">
        <v>0.92210999999999999</v>
      </c>
    </row>
    <row r="1210" spans="1:5" x14ac:dyDescent="0.25">
      <c r="A1210">
        <v>1534.60556</v>
      </c>
      <c r="B1210">
        <v>0.91371999999999998</v>
      </c>
      <c r="D1210">
        <v>1534.60556</v>
      </c>
      <c r="E1210">
        <v>0.91761000000000004</v>
      </c>
    </row>
    <row r="1211" spans="1:5" x14ac:dyDescent="0.25">
      <c r="A1211">
        <v>1532.5648699999999</v>
      </c>
      <c r="B1211">
        <v>0.91527000000000003</v>
      </c>
      <c r="D1211">
        <v>1532.5648699999999</v>
      </c>
      <c r="E1211">
        <v>0.91644000000000003</v>
      </c>
    </row>
    <row r="1212" spans="1:5" x14ac:dyDescent="0.25">
      <c r="A1212">
        <v>1530.5241699999999</v>
      </c>
      <c r="B1212">
        <v>0.91666999999999998</v>
      </c>
      <c r="D1212">
        <v>1530.5241699999999</v>
      </c>
      <c r="E1212">
        <v>0.92042999999999997</v>
      </c>
    </row>
    <row r="1213" spans="1:5" x14ac:dyDescent="0.25">
      <c r="A1213">
        <v>1528.4834699999999</v>
      </c>
      <c r="B1213">
        <v>0.91817000000000004</v>
      </c>
      <c r="D1213">
        <v>1528.4834699999999</v>
      </c>
      <c r="E1213">
        <v>0.91851000000000005</v>
      </c>
    </row>
    <row r="1214" spans="1:5" x14ac:dyDescent="0.25">
      <c r="A1214">
        <v>1526.4427700000001</v>
      </c>
      <c r="B1214">
        <v>0.91937000000000002</v>
      </c>
      <c r="D1214">
        <v>1526.4427700000001</v>
      </c>
      <c r="E1214">
        <v>0.91466999999999998</v>
      </c>
    </row>
    <row r="1215" spans="1:5" x14ac:dyDescent="0.25">
      <c r="A1215">
        <v>1524.4020700000001</v>
      </c>
      <c r="B1215">
        <v>0.91954999999999998</v>
      </c>
      <c r="D1215">
        <v>1524.4020700000001</v>
      </c>
      <c r="E1215">
        <v>0.91381000000000001</v>
      </c>
    </row>
    <row r="1216" spans="1:5" x14ac:dyDescent="0.25">
      <c r="A1216">
        <v>1522.3613700000001</v>
      </c>
      <c r="B1216">
        <v>0.91781999999999997</v>
      </c>
      <c r="D1216">
        <v>1522.3613700000001</v>
      </c>
      <c r="E1216">
        <v>0.91317000000000004</v>
      </c>
    </row>
    <row r="1217" spans="1:5" x14ac:dyDescent="0.25">
      <c r="A1217">
        <v>1520.3206700000001</v>
      </c>
      <c r="B1217">
        <v>0.91578000000000004</v>
      </c>
      <c r="D1217">
        <v>1520.3206700000001</v>
      </c>
      <c r="E1217">
        <v>0.91683000000000003</v>
      </c>
    </row>
    <row r="1218" spans="1:5" x14ac:dyDescent="0.25">
      <c r="A1218">
        <v>1518.27997</v>
      </c>
      <c r="B1218">
        <v>0.91557999999999995</v>
      </c>
      <c r="D1218">
        <v>1518.27997</v>
      </c>
      <c r="E1218">
        <v>0.92169000000000001</v>
      </c>
    </row>
    <row r="1219" spans="1:5" x14ac:dyDescent="0.25">
      <c r="A1219">
        <v>1516.23927</v>
      </c>
      <c r="B1219">
        <v>0.91666999999999998</v>
      </c>
      <c r="D1219">
        <v>1516.23927</v>
      </c>
      <c r="E1219">
        <v>0.92396999999999996</v>
      </c>
    </row>
    <row r="1220" spans="1:5" x14ac:dyDescent="0.25">
      <c r="A1220">
        <v>1514.19858</v>
      </c>
      <c r="B1220">
        <v>0.91839000000000004</v>
      </c>
      <c r="D1220">
        <v>1514.19858</v>
      </c>
      <c r="E1220">
        <v>0.92661000000000004</v>
      </c>
    </row>
    <row r="1221" spans="1:5" x14ac:dyDescent="0.25">
      <c r="A1221">
        <v>1512.15788</v>
      </c>
      <c r="B1221">
        <v>0.92054999999999998</v>
      </c>
      <c r="D1221">
        <v>1512.15788</v>
      </c>
      <c r="E1221">
        <v>0.92403999999999997</v>
      </c>
    </row>
    <row r="1222" spans="1:5" x14ac:dyDescent="0.25">
      <c r="A1222">
        <v>1510.11718</v>
      </c>
      <c r="B1222">
        <v>0.92284999999999995</v>
      </c>
      <c r="D1222">
        <v>1510.11718</v>
      </c>
      <c r="E1222">
        <v>0.91513999999999995</v>
      </c>
    </row>
    <row r="1223" spans="1:5" x14ac:dyDescent="0.25">
      <c r="A1223">
        <v>1508.0764799999999</v>
      </c>
      <c r="B1223">
        <v>0.92566999999999999</v>
      </c>
      <c r="D1223">
        <v>1508.0764799999999</v>
      </c>
      <c r="E1223">
        <v>0.90912000000000004</v>
      </c>
    </row>
    <row r="1224" spans="1:5" x14ac:dyDescent="0.25">
      <c r="A1224">
        <v>1506.0357799999999</v>
      </c>
      <c r="B1224">
        <v>0.92871999999999999</v>
      </c>
      <c r="D1224">
        <v>1506.0357799999999</v>
      </c>
      <c r="E1224">
        <v>0.92337999999999998</v>
      </c>
    </row>
    <row r="1225" spans="1:5" x14ac:dyDescent="0.25">
      <c r="A1225">
        <v>1503.9950799999999</v>
      </c>
      <c r="B1225">
        <v>0.93078000000000005</v>
      </c>
      <c r="D1225">
        <v>1503.9950799999999</v>
      </c>
      <c r="E1225">
        <v>0.94362000000000001</v>
      </c>
    </row>
    <row r="1226" spans="1:5" x14ac:dyDescent="0.25">
      <c r="A1226">
        <v>1501.9543799999999</v>
      </c>
      <c r="B1226">
        <v>0.93218000000000001</v>
      </c>
      <c r="D1226">
        <v>1501.9543799999999</v>
      </c>
      <c r="E1226">
        <v>0.94496999999999998</v>
      </c>
    </row>
    <row r="1227" spans="1:5" x14ac:dyDescent="0.25">
      <c r="A1227">
        <v>1499.9136800000001</v>
      </c>
      <c r="B1227">
        <v>0.93396000000000001</v>
      </c>
      <c r="D1227">
        <v>1499.9136800000001</v>
      </c>
      <c r="E1227">
        <v>0.93755999999999995</v>
      </c>
    </row>
    <row r="1228" spans="1:5" x14ac:dyDescent="0.25">
      <c r="A1228">
        <v>1497.8729800000001</v>
      </c>
      <c r="B1228">
        <v>0.93637999999999999</v>
      </c>
      <c r="D1228">
        <v>1497.8729800000001</v>
      </c>
      <c r="E1228">
        <v>0.93539000000000005</v>
      </c>
    </row>
    <row r="1229" spans="1:5" x14ac:dyDescent="0.25">
      <c r="A1229">
        <v>1495.8322900000001</v>
      </c>
      <c r="B1229">
        <v>0.93945999999999996</v>
      </c>
      <c r="D1229">
        <v>1495.8322900000001</v>
      </c>
      <c r="E1229">
        <v>0.94077</v>
      </c>
    </row>
    <row r="1230" spans="1:5" x14ac:dyDescent="0.25">
      <c r="A1230">
        <v>1493.79159</v>
      </c>
      <c r="B1230">
        <v>0.94259000000000004</v>
      </c>
      <c r="D1230">
        <v>1493.79159</v>
      </c>
      <c r="E1230">
        <v>0.94547999999999999</v>
      </c>
    </row>
    <row r="1231" spans="1:5" x14ac:dyDescent="0.25">
      <c r="A1231">
        <v>1491.75089</v>
      </c>
      <c r="B1231">
        <v>0.94450000000000001</v>
      </c>
      <c r="D1231">
        <v>1491.75089</v>
      </c>
      <c r="E1231">
        <v>0.94069000000000003</v>
      </c>
    </row>
    <row r="1232" spans="1:5" x14ac:dyDescent="0.25">
      <c r="A1232">
        <v>1489.71019</v>
      </c>
      <c r="B1232">
        <v>0.94428999999999996</v>
      </c>
      <c r="D1232">
        <v>1489.71019</v>
      </c>
      <c r="E1232">
        <v>0.93562000000000001</v>
      </c>
    </row>
    <row r="1233" spans="1:5" x14ac:dyDescent="0.25">
      <c r="A1233">
        <v>1487.66949</v>
      </c>
      <c r="B1233">
        <v>0.94330000000000003</v>
      </c>
      <c r="D1233">
        <v>1487.66949</v>
      </c>
      <c r="E1233">
        <v>0.94094999999999995</v>
      </c>
    </row>
    <row r="1234" spans="1:5" x14ac:dyDescent="0.25">
      <c r="A1234">
        <v>1485.62879</v>
      </c>
      <c r="B1234">
        <v>0.94342000000000004</v>
      </c>
      <c r="D1234">
        <v>1485.62879</v>
      </c>
      <c r="E1234">
        <v>0.94935999999999998</v>
      </c>
    </row>
    <row r="1235" spans="1:5" x14ac:dyDescent="0.25">
      <c r="A1235">
        <v>1483.58809</v>
      </c>
      <c r="B1235">
        <v>0.94443999999999995</v>
      </c>
      <c r="D1235">
        <v>1483.58809</v>
      </c>
      <c r="E1235">
        <v>0.95223999999999998</v>
      </c>
    </row>
    <row r="1236" spans="1:5" x14ac:dyDescent="0.25">
      <c r="A1236">
        <v>1481.54739</v>
      </c>
      <c r="B1236">
        <v>0.94533999999999996</v>
      </c>
      <c r="D1236">
        <v>1481.54739</v>
      </c>
      <c r="E1236">
        <v>0.95103000000000004</v>
      </c>
    </row>
    <row r="1237" spans="1:5" x14ac:dyDescent="0.25">
      <c r="A1237">
        <v>1479.5066899999999</v>
      </c>
      <c r="B1237">
        <v>0.94572999999999996</v>
      </c>
      <c r="D1237">
        <v>1479.5066899999999</v>
      </c>
      <c r="E1237">
        <v>0.94957999999999998</v>
      </c>
    </row>
    <row r="1238" spans="1:5" x14ac:dyDescent="0.25">
      <c r="A1238">
        <v>1477.4659999999999</v>
      </c>
      <c r="B1238">
        <v>0.94665999999999995</v>
      </c>
      <c r="D1238">
        <v>1477.4659999999999</v>
      </c>
      <c r="E1238">
        <v>0.94591000000000003</v>
      </c>
    </row>
    <row r="1239" spans="1:5" x14ac:dyDescent="0.25">
      <c r="A1239">
        <v>1475.4253000000001</v>
      </c>
      <c r="B1239">
        <v>0.94871000000000005</v>
      </c>
      <c r="D1239">
        <v>1475.4253000000001</v>
      </c>
      <c r="E1239">
        <v>0.94096999999999997</v>
      </c>
    </row>
    <row r="1240" spans="1:5" x14ac:dyDescent="0.25">
      <c r="A1240">
        <v>1473.3846000000001</v>
      </c>
      <c r="B1240">
        <v>0.94996999999999998</v>
      </c>
      <c r="D1240">
        <v>1473.3846000000001</v>
      </c>
      <c r="E1240">
        <v>0.94011</v>
      </c>
    </row>
    <row r="1241" spans="1:5" x14ac:dyDescent="0.25">
      <c r="A1241">
        <v>1471.3439000000001</v>
      </c>
      <c r="B1241">
        <v>0.94891000000000003</v>
      </c>
      <c r="D1241">
        <v>1471.3439000000001</v>
      </c>
      <c r="E1241">
        <v>0.94784999999999997</v>
      </c>
    </row>
    <row r="1242" spans="1:5" x14ac:dyDescent="0.25">
      <c r="A1242">
        <v>1469.3032000000001</v>
      </c>
      <c r="B1242">
        <v>0.94725999999999999</v>
      </c>
      <c r="D1242">
        <v>1469.3032000000001</v>
      </c>
      <c r="E1242">
        <v>0.95548999999999995</v>
      </c>
    </row>
    <row r="1243" spans="1:5" x14ac:dyDescent="0.25">
      <c r="A1243">
        <v>1467.2625</v>
      </c>
      <c r="B1243">
        <v>0.94664999999999999</v>
      </c>
      <c r="D1243">
        <v>1467.2625</v>
      </c>
      <c r="E1243">
        <v>0.95404</v>
      </c>
    </row>
    <row r="1244" spans="1:5" x14ac:dyDescent="0.25">
      <c r="A1244">
        <v>1465.2218</v>
      </c>
      <c r="B1244">
        <v>0.94686999999999999</v>
      </c>
      <c r="D1244">
        <v>1465.2218</v>
      </c>
      <c r="E1244">
        <v>0.95076000000000005</v>
      </c>
    </row>
    <row r="1245" spans="1:5" x14ac:dyDescent="0.25">
      <c r="A1245">
        <v>1463.1811</v>
      </c>
      <c r="B1245">
        <v>0.94725999999999999</v>
      </c>
      <c r="D1245">
        <v>1463.1811</v>
      </c>
      <c r="E1245">
        <v>0.95250999999999997</v>
      </c>
    </row>
    <row r="1246" spans="1:5" x14ac:dyDescent="0.25">
      <c r="A1246">
        <v>1461.1404</v>
      </c>
      <c r="B1246">
        <v>0.94772999999999996</v>
      </c>
      <c r="D1246">
        <v>1461.1404</v>
      </c>
      <c r="E1246">
        <v>0.95067999999999997</v>
      </c>
    </row>
    <row r="1247" spans="1:5" x14ac:dyDescent="0.25">
      <c r="A1247">
        <v>1459.09971</v>
      </c>
      <c r="B1247">
        <v>0.94828999999999997</v>
      </c>
      <c r="D1247">
        <v>1459.09971</v>
      </c>
      <c r="E1247">
        <v>0.94074999999999998</v>
      </c>
    </row>
    <row r="1248" spans="1:5" x14ac:dyDescent="0.25">
      <c r="A1248">
        <v>1457.0590099999999</v>
      </c>
      <c r="B1248">
        <v>0.94874999999999998</v>
      </c>
      <c r="D1248">
        <v>1457.0590099999999</v>
      </c>
      <c r="E1248">
        <v>0.93698999999999999</v>
      </c>
    </row>
    <row r="1249" spans="1:5" x14ac:dyDescent="0.25">
      <c r="A1249">
        <v>1455.0183099999999</v>
      </c>
      <c r="B1249">
        <v>0.94938999999999996</v>
      </c>
      <c r="D1249">
        <v>1455.0183099999999</v>
      </c>
      <c r="E1249">
        <v>0.94840000000000002</v>
      </c>
    </row>
    <row r="1250" spans="1:5" x14ac:dyDescent="0.25">
      <c r="A1250">
        <v>1452.9776099999999</v>
      </c>
      <c r="B1250">
        <v>0.95069999999999999</v>
      </c>
      <c r="D1250">
        <v>1452.9776099999999</v>
      </c>
      <c r="E1250">
        <v>0.95679999999999998</v>
      </c>
    </row>
    <row r="1251" spans="1:5" x14ac:dyDescent="0.25">
      <c r="A1251">
        <v>1450.9369099999999</v>
      </c>
      <c r="B1251">
        <v>0.95235000000000003</v>
      </c>
      <c r="D1251">
        <v>1450.9369099999999</v>
      </c>
      <c r="E1251">
        <v>0.95687</v>
      </c>
    </row>
    <row r="1252" spans="1:5" x14ac:dyDescent="0.25">
      <c r="A1252">
        <v>1448.8962100000001</v>
      </c>
      <c r="B1252">
        <v>0.95399999999999996</v>
      </c>
      <c r="D1252">
        <v>1448.8962100000001</v>
      </c>
      <c r="E1252">
        <v>0.95606000000000002</v>
      </c>
    </row>
    <row r="1253" spans="1:5" x14ac:dyDescent="0.25">
      <c r="A1253">
        <v>1446.8555100000001</v>
      </c>
      <c r="B1253">
        <v>0.95574000000000003</v>
      </c>
      <c r="D1253">
        <v>1446.8555100000001</v>
      </c>
      <c r="E1253">
        <v>0.95891000000000004</v>
      </c>
    </row>
    <row r="1254" spans="1:5" x14ac:dyDescent="0.25">
      <c r="A1254">
        <v>1444.8148100000001</v>
      </c>
      <c r="B1254">
        <v>0.95777999999999996</v>
      </c>
      <c r="D1254">
        <v>1444.8148100000001</v>
      </c>
      <c r="E1254">
        <v>0.96316000000000002</v>
      </c>
    </row>
    <row r="1255" spans="1:5" x14ac:dyDescent="0.25">
      <c r="A1255">
        <v>1442.7741100000001</v>
      </c>
      <c r="B1255">
        <v>0.95979000000000003</v>
      </c>
      <c r="D1255">
        <v>1442.7741100000001</v>
      </c>
      <c r="E1255">
        <v>0.96457999999999999</v>
      </c>
    </row>
    <row r="1256" spans="1:5" x14ac:dyDescent="0.25">
      <c r="A1256">
        <v>1440.73342</v>
      </c>
      <c r="B1256">
        <v>0.96079000000000003</v>
      </c>
      <c r="D1256">
        <v>1440.73342</v>
      </c>
      <c r="E1256">
        <v>0.96333999999999997</v>
      </c>
    </row>
    <row r="1257" spans="1:5" x14ac:dyDescent="0.25">
      <c r="A1257">
        <v>1438.69272</v>
      </c>
      <c r="B1257">
        <v>0.96070999999999995</v>
      </c>
      <c r="D1257">
        <v>1438.69272</v>
      </c>
      <c r="E1257">
        <v>0.95857999999999999</v>
      </c>
    </row>
    <row r="1258" spans="1:5" x14ac:dyDescent="0.25">
      <c r="A1258">
        <v>1436.65202</v>
      </c>
      <c r="B1258">
        <v>0.96101999999999999</v>
      </c>
      <c r="D1258">
        <v>1436.65202</v>
      </c>
      <c r="E1258">
        <v>0.95562000000000002</v>
      </c>
    </row>
    <row r="1259" spans="1:5" x14ac:dyDescent="0.25">
      <c r="A1259">
        <v>1434.61132</v>
      </c>
      <c r="B1259">
        <v>0.96136999999999995</v>
      </c>
      <c r="D1259">
        <v>1434.61132</v>
      </c>
      <c r="E1259">
        <v>0.96055999999999997</v>
      </c>
    </row>
    <row r="1260" spans="1:5" x14ac:dyDescent="0.25">
      <c r="A1260">
        <v>1432.57062</v>
      </c>
      <c r="B1260">
        <v>0.96067000000000002</v>
      </c>
      <c r="D1260">
        <v>1432.57062</v>
      </c>
      <c r="E1260">
        <v>0.96397999999999995</v>
      </c>
    </row>
    <row r="1261" spans="1:5" x14ac:dyDescent="0.25">
      <c r="A1261">
        <v>1430.5299199999999</v>
      </c>
      <c r="B1261">
        <v>0.95935999999999999</v>
      </c>
      <c r="D1261">
        <v>1430.5299199999999</v>
      </c>
      <c r="E1261">
        <v>0.96357000000000004</v>
      </c>
    </row>
    <row r="1262" spans="1:5" x14ac:dyDescent="0.25">
      <c r="A1262">
        <v>1428.4892199999999</v>
      </c>
      <c r="B1262">
        <v>0.95848</v>
      </c>
      <c r="D1262">
        <v>1428.4892199999999</v>
      </c>
      <c r="E1262">
        <v>0.96499000000000001</v>
      </c>
    </row>
    <row r="1263" spans="1:5" x14ac:dyDescent="0.25">
      <c r="A1263">
        <v>1426.4485199999999</v>
      </c>
      <c r="B1263">
        <v>0.95842000000000005</v>
      </c>
      <c r="D1263">
        <v>1426.4485199999999</v>
      </c>
      <c r="E1263">
        <v>0.96550000000000002</v>
      </c>
    </row>
    <row r="1264" spans="1:5" x14ac:dyDescent="0.25">
      <c r="A1264">
        <v>1424.4078199999999</v>
      </c>
      <c r="B1264">
        <v>0.95901999999999998</v>
      </c>
      <c r="D1264">
        <v>1424.4078199999999</v>
      </c>
      <c r="E1264">
        <v>0.96294999999999997</v>
      </c>
    </row>
    <row r="1265" spans="1:5" x14ac:dyDescent="0.25">
      <c r="A1265">
        <v>1422.3671300000001</v>
      </c>
      <c r="B1265">
        <v>0.96001000000000003</v>
      </c>
      <c r="D1265">
        <v>1422.3671300000001</v>
      </c>
      <c r="E1265">
        <v>0.96030000000000004</v>
      </c>
    </row>
    <row r="1266" spans="1:5" x14ac:dyDescent="0.25">
      <c r="A1266">
        <v>1420.3264300000001</v>
      </c>
      <c r="B1266">
        <v>0.96065</v>
      </c>
      <c r="D1266">
        <v>1420.3264300000001</v>
      </c>
      <c r="E1266">
        <v>0.95609999999999995</v>
      </c>
    </row>
    <row r="1267" spans="1:5" x14ac:dyDescent="0.25">
      <c r="A1267">
        <v>1418.2857300000001</v>
      </c>
      <c r="B1267">
        <v>0.96091000000000004</v>
      </c>
      <c r="D1267">
        <v>1418.2857300000001</v>
      </c>
      <c r="E1267">
        <v>0.95611999999999997</v>
      </c>
    </row>
    <row r="1268" spans="1:5" x14ac:dyDescent="0.25">
      <c r="A1268">
        <v>1416.24503</v>
      </c>
      <c r="B1268">
        <v>0.96184000000000003</v>
      </c>
      <c r="D1268">
        <v>1416.24503</v>
      </c>
      <c r="E1268">
        <v>0.96353</v>
      </c>
    </row>
    <row r="1269" spans="1:5" x14ac:dyDescent="0.25">
      <c r="A1269">
        <v>1414.20433</v>
      </c>
      <c r="B1269">
        <v>0.96328000000000003</v>
      </c>
      <c r="D1269">
        <v>1414.20433</v>
      </c>
      <c r="E1269">
        <v>0.96872000000000003</v>
      </c>
    </row>
    <row r="1270" spans="1:5" x14ac:dyDescent="0.25">
      <c r="A1270">
        <v>1412.16363</v>
      </c>
      <c r="B1270">
        <v>0.96447000000000005</v>
      </c>
      <c r="D1270">
        <v>1412.16363</v>
      </c>
      <c r="E1270">
        <v>0.96953</v>
      </c>
    </row>
    <row r="1271" spans="1:5" x14ac:dyDescent="0.25">
      <c r="A1271">
        <v>1410.12293</v>
      </c>
      <c r="B1271">
        <v>0.96531999999999996</v>
      </c>
      <c r="D1271">
        <v>1410.12293</v>
      </c>
      <c r="E1271">
        <v>0.96969000000000005</v>
      </c>
    </row>
    <row r="1272" spans="1:5" x14ac:dyDescent="0.25">
      <c r="A1272">
        <v>1408.08223</v>
      </c>
      <c r="B1272">
        <v>0.96604000000000001</v>
      </c>
      <c r="D1272">
        <v>1408.08223</v>
      </c>
      <c r="E1272">
        <v>0.96977999999999998</v>
      </c>
    </row>
    <row r="1273" spans="1:5" x14ac:dyDescent="0.25">
      <c r="A1273">
        <v>1406.04153</v>
      </c>
      <c r="B1273">
        <v>0.96689000000000003</v>
      </c>
      <c r="D1273">
        <v>1406.04153</v>
      </c>
      <c r="E1273">
        <v>0.96872000000000003</v>
      </c>
    </row>
    <row r="1274" spans="1:5" x14ac:dyDescent="0.25">
      <c r="A1274">
        <v>1404.0008399999999</v>
      </c>
      <c r="B1274">
        <v>0.96762999999999999</v>
      </c>
      <c r="D1274">
        <v>1404.0008399999999</v>
      </c>
      <c r="E1274">
        <v>0.96940000000000004</v>
      </c>
    </row>
    <row r="1275" spans="1:5" x14ac:dyDescent="0.25">
      <c r="A1275">
        <v>1401.9601399999999</v>
      </c>
      <c r="B1275">
        <v>0.96733000000000002</v>
      </c>
      <c r="D1275">
        <v>1401.9601399999999</v>
      </c>
      <c r="E1275">
        <v>0.97021999999999997</v>
      </c>
    </row>
    <row r="1276" spans="1:5" x14ac:dyDescent="0.25">
      <c r="A1276">
        <v>1399.9194399999999</v>
      </c>
      <c r="B1276">
        <v>0.96621999999999997</v>
      </c>
      <c r="D1276">
        <v>1399.9194399999999</v>
      </c>
      <c r="E1276">
        <v>0.96640999999999999</v>
      </c>
    </row>
    <row r="1277" spans="1:5" x14ac:dyDescent="0.25">
      <c r="A1277">
        <v>1397.8787400000001</v>
      </c>
      <c r="B1277">
        <v>0.96557000000000004</v>
      </c>
      <c r="D1277">
        <v>1397.8787400000001</v>
      </c>
      <c r="E1277">
        <v>0.96262000000000003</v>
      </c>
    </row>
    <row r="1278" spans="1:5" x14ac:dyDescent="0.25">
      <c r="A1278">
        <v>1395.8380400000001</v>
      </c>
      <c r="B1278">
        <v>0.96557999999999999</v>
      </c>
      <c r="D1278">
        <v>1395.8380400000001</v>
      </c>
      <c r="E1278">
        <v>0.96277999999999997</v>
      </c>
    </row>
    <row r="1279" spans="1:5" x14ac:dyDescent="0.25">
      <c r="A1279">
        <v>1393.7973400000001</v>
      </c>
      <c r="B1279">
        <v>0.96586000000000005</v>
      </c>
      <c r="D1279">
        <v>1393.7973400000001</v>
      </c>
      <c r="E1279">
        <v>0.96728000000000003</v>
      </c>
    </row>
    <row r="1280" spans="1:5" x14ac:dyDescent="0.25">
      <c r="A1280">
        <v>1391.7566400000001</v>
      </c>
      <c r="B1280">
        <v>0.96619999999999995</v>
      </c>
      <c r="D1280">
        <v>1391.7566400000001</v>
      </c>
      <c r="E1280">
        <v>0.97162000000000004</v>
      </c>
    </row>
    <row r="1281" spans="1:5" x14ac:dyDescent="0.25">
      <c r="A1281">
        <v>1389.71594</v>
      </c>
      <c r="B1281">
        <v>0.96635000000000004</v>
      </c>
      <c r="D1281">
        <v>1389.71594</v>
      </c>
      <c r="E1281">
        <v>0.96967999999999999</v>
      </c>
    </row>
    <row r="1282" spans="1:5" x14ac:dyDescent="0.25">
      <c r="A1282">
        <v>1387.67524</v>
      </c>
      <c r="B1282">
        <v>0.96618000000000004</v>
      </c>
      <c r="D1282">
        <v>1387.67524</v>
      </c>
      <c r="E1282">
        <v>0.96641999999999995</v>
      </c>
    </row>
    <row r="1283" spans="1:5" x14ac:dyDescent="0.25">
      <c r="A1283">
        <v>1385.63455</v>
      </c>
      <c r="B1283">
        <v>0.96623999999999999</v>
      </c>
      <c r="D1283">
        <v>1385.63455</v>
      </c>
      <c r="E1283">
        <v>0.96877999999999997</v>
      </c>
    </row>
    <row r="1284" spans="1:5" x14ac:dyDescent="0.25">
      <c r="A1284">
        <v>1383.59385</v>
      </c>
      <c r="B1284">
        <v>0.96677000000000002</v>
      </c>
      <c r="D1284">
        <v>1383.59385</v>
      </c>
      <c r="E1284">
        <v>0.97206000000000004</v>
      </c>
    </row>
    <row r="1285" spans="1:5" x14ac:dyDescent="0.25">
      <c r="A1285">
        <v>1381.55315</v>
      </c>
      <c r="B1285">
        <v>0.96740000000000004</v>
      </c>
      <c r="D1285">
        <v>1381.55315</v>
      </c>
      <c r="E1285">
        <v>0.97165999999999997</v>
      </c>
    </row>
    <row r="1286" spans="1:5" x14ac:dyDescent="0.25">
      <c r="A1286">
        <v>1379.5124499999999</v>
      </c>
      <c r="B1286">
        <v>0.96780999999999995</v>
      </c>
      <c r="D1286">
        <v>1379.5124499999999</v>
      </c>
      <c r="E1286">
        <v>0.96965000000000001</v>
      </c>
    </row>
    <row r="1287" spans="1:5" x14ac:dyDescent="0.25">
      <c r="A1287">
        <v>1377.4717499999999</v>
      </c>
      <c r="B1287">
        <v>0.96769000000000005</v>
      </c>
      <c r="D1287">
        <v>1377.4717499999999</v>
      </c>
      <c r="E1287">
        <v>0.96796000000000004</v>
      </c>
    </row>
    <row r="1288" spans="1:5" x14ac:dyDescent="0.25">
      <c r="A1288">
        <v>1375.4310499999999</v>
      </c>
      <c r="B1288">
        <v>0.96743000000000001</v>
      </c>
      <c r="D1288">
        <v>1375.4310499999999</v>
      </c>
      <c r="E1288">
        <v>0.96665000000000001</v>
      </c>
    </row>
    <row r="1289" spans="1:5" x14ac:dyDescent="0.25">
      <c r="A1289">
        <v>1373.3903499999999</v>
      </c>
      <c r="B1289">
        <v>0.96765999999999996</v>
      </c>
      <c r="D1289">
        <v>1373.3903499999999</v>
      </c>
      <c r="E1289">
        <v>0.96806999999999999</v>
      </c>
    </row>
    <row r="1290" spans="1:5" x14ac:dyDescent="0.25">
      <c r="A1290">
        <v>1371.3496500000001</v>
      </c>
      <c r="B1290">
        <v>0.96809999999999996</v>
      </c>
      <c r="D1290">
        <v>1371.3496500000001</v>
      </c>
      <c r="E1290">
        <v>0.97179000000000004</v>
      </c>
    </row>
    <row r="1291" spans="1:5" x14ac:dyDescent="0.25">
      <c r="A1291">
        <v>1369.3089500000001</v>
      </c>
      <c r="B1291">
        <v>0.96840000000000004</v>
      </c>
      <c r="D1291">
        <v>1369.3089500000001</v>
      </c>
      <c r="E1291">
        <v>0.97331999999999996</v>
      </c>
    </row>
    <row r="1292" spans="1:5" x14ac:dyDescent="0.25">
      <c r="A1292">
        <v>1367.2682600000001</v>
      </c>
      <c r="B1292">
        <v>0.96897</v>
      </c>
      <c r="D1292">
        <v>1367.2682600000001</v>
      </c>
      <c r="E1292">
        <v>0.97301000000000004</v>
      </c>
    </row>
    <row r="1293" spans="1:5" x14ac:dyDescent="0.25">
      <c r="A1293">
        <v>1365.22756</v>
      </c>
      <c r="B1293">
        <v>0.97004999999999997</v>
      </c>
      <c r="D1293">
        <v>1365.22756</v>
      </c>
      <c r="E1293">
        <v>0.97048999999999996</v>
      </c>
    </row>
    <row r="1294" spans="1:5" x14ac:dyDescent="0.25">
      <c r="A1294">
        <v>1363.18686</v>
      </c>
      <c r="B1294">
        <v>0.97128999999999999</v>
      </c>
      <c r="D1294">
        <v>1363.18686</v>
      </c>
      <c r="E1294">
        <v>0.96713000000000005</v>
      </c>
    </row>
    <row r="1295" spans="1:5" x14ac:dyDescent="0.25">
      <c r="A1295">
        <v>1361.14616</v>
      </c>
      <c r="B1295">
        <v>0.97248000000000001</v>
      </c>
      <c r="D1295">
        <v>1361.14616</v>
      </c>
      <c r="E1295">
        <v>0.96914</v>
      </c>
    </row>
    <row r="1296" spans="1:5" x14ac:dyDescent="0.25">
      <c r="A1296">
        <v>1359.10546</v>
      </c>
      <c r="B1296">
        <v>0.97365000000000002</v>
      </c>
      <c r="D1296">
        <v>1359.10546</v>
      </c>
      <c r="E1296">
        <v>0.97433000000000003</v>
      </c>
    </row>
    <row r="1297" spans="1:5" x14ac:dyDescent="0.25">
      <c r="A1297">
        <v>1357.06476</v>
      </c>
      <c r="B1297">
        <v>0.97472000000000003</v>
      </c>
      <c r="D1297">
        <v>1357.06476</v>
      </c>
      <c r="E1297">
        <v>0.97692000000000001</v>
      </c>
    </row>
    <row r="1298" spans="1:5" x14ac:dyDescent="0.25">
      <c r="A1298">
        <v>1355.02406</v>
      </c>
      <c r="B1298">
        <v>0.97541999999999995</v>
      </c>
      <c r="D1298">
        <v>1355.02406</v>
      </c>
      <c r="E1298">
        <v>0.97748000000000002</v>
      </c>
    </row>
    <row r="1299" spans="1:5" x14ac:dyDescent="0.25">
      <c r="A1299">
        <v>1352.9833599999999</v>
      </c>
      <c r="B1299">
        <v>0.97558999999999996</v>
      </c>
      <c r="D1299">
        <v>1352.9833599999999</v>
      </c>
      <c r="E1299">
        <v>0.97799999999999998</v>
      </c>
    </row>
    <row r="1300" spans="1:5" x14ac:dyDescent="0.25">
      <c r="A1300">
        <v>1350.9426599999999</v>
      </c>
      <c r="B1300">
        <v>0.97533000000000003</v>
      </c>
      <c r="D1300">
        <v>1350.9426599999999</v>
      </c>
      <c r="E1300">
        <v>0.97818000000000005</v>
      </c>
    </row>
    <row r="1301" spans="1:5" x14ac:dyDescent="0.25">
      <c r="A1301">
        <v>1348.9019699999999</v>
      </c>
      <c r="B1301">
        <v>0.97496000000000005</v>
      </c>
      <c r="D1301">
        <v>1348.9019699999999</v>
      </c>
      <c r="E1301">
        <v>0.97802</v>
      </c>
    </row>
    <row r="1302" spans="1:5" x14ac:dyDescent="0.25">
      <c r="A1302">
        <v>1346.8612700000001</v>
      </c>
      <c r="B1302">
        <v>0.97448999999999997</v>
      </c>
      <c r="D1302">
        <v>1346.8612700000001</v>
      </c>
      <c r="E1302">
        <v>0.97802999999999995</v>
      </c>
    </row>
    <row r="1303" spans="1:5" x14ac:dyDescent="0.25">
      <c r="A1303">
        <v>1344.8205700000001</v>
      </c>
      <c r="B1303">
        <v>0.97370999999999996</v>
      </c>
      <c r="D1303">
        <v>1344.8205700000001</v>
      </c>
      <c r="E1303">
        <v>0.97736999999999996</v>
      </c>
    </row>
    <row r="1304" spans="1:5" x14ac:dyDescent="0.25">
      <c r="A1304">
        <v>1342.7798700000001</v>
      </c>
      <c r="B1304">
        <v>0.97302</v>
      </c>
      <c r="D1304">
        <v>1342.7798700000001</v>
      </c>
      <c r="E1304">
        <v>0.97402</v>
      </c>
    </row>
    <row r="1305" spans="1:5" x14ac:dyDescent="0.25">
      <c r="A1305">
        <v>1340.7391700000001</v>
      </c>
      <c r="B1305">
        <v>0.97282000000000002</v>
      </c>
      <c r="D1305">
        <v>1340.7391700000001</v>
      </c>
      <c r="E1305">
        <v>0.96819999999999995</v>
      </c>
    </row>
    <row r="1306" spans="1:5" x14ac:dyDescent="0.25">
      <c r="A1306">
        <v>1338.69847</v>
      </c>
      <c r="B1306">
        <v>0.97299000000000002</v>
      </c>
      <c r="D1306">
        <v>1338.69847</v>
      </c>
      <c r="E1306">
        <v>0.96613000000000004</v>
      </c>
    </row>
    <row r="1307" spans="1:5" x14ac:dyDescent="0.25">
      <c r="A1307">
        <v>1336.65777</v>
      </c>
      <c r="B1307">
        <v>0.97341999999999995</v>
      </c>
      <c r="D1307">
        <v>1336.65777</v>
      </c>
      <c r="E1307">
        <v>0.97072000000000003</v>
      </c>
    </row>
    <row r="1308" spans="1:5" x14ac:dyDescent="0.25">
      <c r="A1308">
        <v>1334.61707</v>
      </c>
      <c r="B1308">
        <v>0.97404000000000002</v>
      </c>
      <c r="D1308">
        <v>1334.61707</v>
      </c>
      <c r="E1308">
        <v>0.97658999999999996</v>
      </c>
    </row>
    <row r="1309" spans="1:5" x14ac:dyDescent="0.25">
      <c r="A1309">
        <v>1332.57637</v>
      </c>
      <c r="B1309">
        <v>0.97472000000000003</v>
      </c>
      <c r="D1309">
        <v>1332.57637</v>
      </c>
      <c r="E1309">
        <v>0.97970999999999997</v>
      </c>
    </row>
    <row r="1310" spans="1:5" x14ac:dyDescent="0.25">
      <c r="A1310">
        <v>1330.53568</v>
      </c>
      <c r="B1310">
        <v>0.97548999999999997</v>
      </c>
      <c r="D1310">
        <v>1330.53568</v>
      </c>
      <c r="E1310">
        <v>0.98053999999999997</v>
      </c>
    </row>
    <row r="1311" spans="1:5" x14ac:dyDescent="0.25">
      <c r="A1311">
        <v>1328.4949799999999</v>
      </c>
      <c r="B1311">
        <v>0.97636999999999996</v>
      </c>
      <c r="D1311">
        <v>1328.4949799999999</v>
      </c>
      <c r="E1311">
        <v>0.98046</v>
      </c>
    </row>
    <row r="1312" spans="1:5" x14ac:dyDescent="0.25">
      <c r="A1312">
        <v>1326.4542799999999</v>
      </c>
      <c r="B1312">
        <v>0.97731000000000001</v>
      </c>
      <c r="D1312">
        <v>1326.4542799999999</v>
      </c>
      <c r="E1312">
        <v>0.98006000000000004</v>
      </c>
    </row>
    <row r="1313" spans="1:5" x14ac:dyDescent="0.25">
      <c r="A1313">
        <v>1324.4135799999999</v>
      </c>
      <c r="B1313">
        <v>0.97806000000000004</v>
      </c>
      <c r="D1313">
        <v>1324.4135799999999</v>
      </c>
      <c r="E1313">
        <v>0.97957000000000005</v>
      </c>
    </row>
    <row r="1314" spans="1:5" x14ac:dyDescent="0.25">
      <c r="A1314">
        <v>1322.3728799999999</v>
      </c>
      <c r="B1314">
        <v>0.97818000000000005</v>
      </c>
      <c r="D1314">
        <v>1322.3728799999999</v>
      </c>
      <c r="E1314">
        <v>0.97880999999999996</v>
      </c>
    </row>
    <row r="1315" spans="1:5" x14ac:dyDescent="0.25">
      <c r="A1315">
        <v>1320.3321800000001</v>
      </c>
      <c r="B1315">
        <v>0.97772000000000003</v>
      </c>
      <c r="D1315">
        <v>1320.3321800000001</v>
      </c>
      <c r="E1315">
        <v>0.97753999999999996</v>
      </c>
    </row>
    <row r="1316" spans="1:5" x14ac:dyDescent="0.25">
      <c r="A1316">
        <v>1318.2914800000001</v>
      </c>
      <c r="B1316">
        <v>0.97733000000000003</v>
      </c>
      <c r="D1316">
        <v>1318.2914800000001</v>
      </c>
      <c r="E1316">
        <v>0.97697000000000001</v>
      </c>
    </row>
    <row r="1317" spans="1:5" x14ac:dyDescent="0.25">
      <c r="A1317">
        <v>1316.2507800000001</v>
      </c>
      <c r="B1317">
        <v>0.97738999999999998</v>
      </c>
      <c r="D1317">
        <v>1316.2507800000001</v>
      </c>
      <c r="E1317">
        <v>0.97758999999999996</v>
      </c>
    </row>
    <row r="1318" spans="1:5" x14ac:dyDescent="0.25">
      <c r="A1318">
        <v>1314.2100800000001</v>
      </c>
      <c r="B1318">
        <v>0.97787999999999997</v>
      </c>
      <c r="D1318">
        <v>1314.2100800000001</v>
      </c>
      <c r="E1318">
        <v>0.97829999999999995</v>
      </c>
    </row>
    <row r="1319" spans="1:5" x14ac:dyDescent="0.25">
      <c r="A1319">
        <v>1312.16939</v>
      </c>
      <c r="B1319">
        <v>0.97860000000000003</v>
      </c>
      <c r="D1319">
        <v>1312.16939</v>
      </c>
      <c r="E1319">
        <v>0.97953000000000001</v>
      </c>
    </row>
    <row r="1320" spans="1:5" x14ac:dyDescent="0.25">
      <c r="A1320">
        <v>1310.12869</v>
      </c>
      <c r="B1320">
        <v>0.97943000000000002</v>
      </c>
      <c r="D1320">
        <v>1310.12869</v>
      </c>
      <c r="E1320">
        <v>0.98121000000000003</v>
      </c>
    </row>
    <row r="1321" spans="1:5" x14ac:dyDescent="0.25">
      <c r="A1321">
        <v>1308.08799</v>
      </c>
      <c r="B1321">
        <v>0.98035000000000005</v>
      </c>
      <c r="D1321">
        <v>1308.08799</v>
      </c>
      <c r="E1321">
        <v>0.98202999999999996</v>
      </c>
    </row>
    <row r="1322" spans="1:5" x14ac:dyDescent="0.25">
      <c r="A1322">
        <v>1306.04729</v>
      </c>
      <c r="B1322">
        <v>0.98133000000000004</v>
      </c>
      <c r="D1322">
        <v>1306.04729</v>
      </c>
      <c r="E1322">
        <v>0.98250999999999999</v>
      </c>
    </row>
    <row r="1323" spans="1:5" x14ac:dyDescent="0.25">
      <c r="A1323">
        <v>1304.00659</v>
      </c>
      <c r="B1323">
        <v>0.98219999999999996</v>
      </c>
      <c r="D1323">
        <v>1304.00659</v>
      </c>
      <c r="E1323">
        <v>0.98318000000000005</v>
      </c>
    </row>
    <row r="1324" spans="1:5" x14ac:dyDescent="0.25">
      <c r="A1324">
        <v>1301.9658899999999</v>
      </c>
      <c r="B1324">
        <v>0.98275000000000001</v>
      </c>
      <c r="D1324">
        <v>1301.9658899999999</v>
      </c>
      <c r="E1324">
        <v>0.98377000000000003</v>
      </c>
    </row>
    <row r="1325" spans="1:5" x14ac:dyDescent="0.25">
      <c r="A1325">
        <v>1299.9251899999999</v>
      </c>
      <c r="B1325">
        <v>0.98301000000000005</v>
      </c>
      <c r="D1325">
        <v>1299.9251899999999</v>
      </c>
      <c r="E1325">
        <v>0.98404000000000003</v>
      </c>
    </row>
    <row r="1326" spans="1:5" x14ac:dyDescent="0.25">
      <c r="A1326">
        <v>1297.8844899999999</v>
      </c>
      <c r="B1326">
        <v>0.98311999999999999</v>
      </c>
      <c r="D1326">
        <v>1297.8844899999999</v>
      </c>
      <c r="E1326">
        <v>0.98394000000000004</v>
      </c>
    </row>
    <row r="1327" spans="1:5" x14ac:dyDescent="0.25">
      <c r="A1327">
        <v>1295.8437899999999</v>
      </c>
      <c r="B1327">
        <v>0.98309999999999997</v>
      </c>
      <c r="D1327">
        <v>1295.8437899999999</v>
      </c>
      <c r="E1327">
        <v>0.98399000000000003</v>
      </c>
    </row>
    <row r="1328" spans="1:5" x14ac:dyDescent="0.25">
      <c r="A1328">
        <v>1293.8031000000001</v>
      </c>
      <c r="B1328">
        <v>0.98299000000000003</v>
      </c>
      <c r="D1328">
        <v>1293.8031000000001</v>
      </c>
      <c r="E1328">
        <v>0.98423000000000005</v>
      </c>
    </row>
    <row r="1329" spans="1:5" x14ac:dyDescent="0.25">
      <c r="A1329">
        <v>1291.7624000000001</v>
      </c>
      <c r="B1329">
        <v>0.98289000000000004</v>
      </c>
      <c r="D1329">
        <v>1291.7624000000001</v>
      </c>
      <c r="E1329">
        <v>0.98375000000000001</v>
      </c>
    </row>
    <row r="1330" spans="1:5" x14ac:dyDescent="0.25">
      <c r="A1330">
        <v>1289.7217000000001</v>
      </c>
      <c r="B1330">
        <v>0.98282999999999998</v>
      </c>
      <c r="D1330">
        <v>1289.7217000000001</v>
      </c>
      <c r="E1330">
        <v>0.98270000000000002</v>
      </c>
    </row>
    <row r="1331" spans="1:5" x14ac:dyDescent="0.25">
      <c r="A1331">
        <v>1287.681</v>
      </c>
      <c r="B1331">
        <v>0.98277000000000003</v>
      </c>
      <c r="D1331">
        <v>1287.681</v>
      </c>
      <c r="E1331">
        <v>0.98250000000000004</v>
      </c>
    </row>
    <row r="1332" spans="1:5" x14ac:dyDescent="0.25">
      <c r="A1332">
        <v>1285.6403</v>
      </c>
      <c r="B1332">
        <v>0.98272000000000004</v>
      </c>
      <c r="D1332">
        <v>1285.6403</v>
      </c>
      <c r="E1332">
        <v>0.98336999999999997</v>
      </c>
    </row>
    <row r="1333" spans="1:5" x14ac:dyDescent="0.25">
      <c r="A1333">
        <v>1283.5996</v>
      </c>
      <c r="B1333">
        <v>0.98270000000000002</v>
      </c>
      <c r="D1333">
        <v>1283.5996</v>
      </c>
      <c r="E1333">
        <v>0.98397999999999997</v>
      </c>
    </row>
    <row r="1334" spans="1:5" x14ac:dyDescent="0.25">
      <c r="A1334">
        <v>1281.5589</v>
      </c>
      <c r="B1334">
        <v>0.98270000000000002</v>
      </c>
      <c r="D1334">
        <v>1281.5589</v>
      </c>
      <c r="E1334">
        <v>0.98402999999999996</v>
      </c>
    </row>
    <row r="1335" spans="1:5" x14ac:dyDescent="0.25">
      <c r="A1335">
        <v>1279.5182</v>
      </c>
      <c r="B1335">
        <v>0.98270999999999997</v>
      </c>
      <c r="D1335">
        <v>1279.5182</v>
      </c>
      <c r="E1335">
        <v>0.98419999999999996</v>
      </c>
    </row>
    <row r="1336" spans="1:5" x14ac:dyDescent="0.25">
      <c r="A1336">
        <v>1277.4775</v>
      </c>
      <c r="B1336">
        <v>0.98280999999999996</v>
      </c>
      <c r="D1336">
        <v>1277.4775</v>
      </c>
      <c r="E1336">
        <v>0.98460000000000003</v>
      </c>
    </row>
    <row r="1337" spans="1:5" x14ac:dyDescent="0.25">
      <c r="A1337">
        <v>1275.4368099999999</v>
      </c>
      <c r="B1337">
        <v>0.98302</v>
      </c>
      <c r="D1337">
        <v>1275.4368099999999</v>
      </c>
      <c r="E1337">
        <v>0.98477000000000003</v>
      </c>
    </row>
    <row r="1338" spans="1:5" x14ac:dyDescent="0.25">
      <c r="A1338">
        <v>1273.3961099999999</v>
      </c>
      <c r="B1338">
        <v>0.98324999999999996</v>
      </c>
      <c r="D1338">
        <v>1273.3961099999999</v>
      </c>
      <c r="E1338">
        <v>0.98438999999999999</v>
      </c>
    </row>
    <row r="1339" spans="1:5" x14ac:dyDescent="0.25">
      <c r="A1339">
        <v>1271.3554099999999</v>
      </c>
      <c r="B1339">
        <v>0.98341999999999996</v>
      </c>
      <c r="D1339">
        <v>1271.3554099999999</v>
      </c>
      <c r="E1339">
        <v>0.98392000000000002</v>
      </c>
    </row>
    <row r="1340" spans="1:5" x14ac:dyDescent="0.25">
      <c r="A1340">
        <v>1269.3147100000001</v>
      </c>
      <c r="B1340">
        <v>0.98357000000000006</v>
      </c>
      <c r="D1340">
        <v>1269.3147100000001</v>
      </c>
      <c r="E1340">
        <v>0.98418000000000005</v>
      </c>
    </row>
    <row r="1341" spans="1:5" x14ac:dyDescent="0.25">
      <c r="A1341">
        <v>1267.2740100000001</v>
      </c>
      <c r="B1341">
        <v>0.98375999999999997</v>
      </c>
      <c r="D1341">
        <v>1267.2740100000001</v>
      </c>
      <c r="E1341">
        <v>0.98482999999999998</v>
      </c>
    </row>
    <row r="1342" spans="1:5" x14ac:dyDescent="0.25">
      <c r="A1342">
        <v>1265.2333100000001</v>
      </c>
      <c r="B1342">
        <v>0.98401000000000005</v>
      </c>
      <c r="D1342">
        <v>1265.2333100000001</v>
      </c>
      <c r="E1342">
        <v>0.98533000000000004</v>
      </c>
    </row>
    <row r="1343" spans="1:5" x14ac:dyDescent="0.25">
      <c r="A1343">
        <v>1263.1926100000001</v>
      </c>
      <c r="B1343">
        <v>0.98428000000000004</v>
      </c>
      <c r="D1343">
        <v>1263.1926100000001</v>
      </c>
      <c r="E1343">
        <v>0.98546999999999996</v>
      </c>
    </row>
    <row r="1344" spans="1:5" x14ac:dyDescent="0.25">
      <c r="A1344">
        <v>1261.15191</v>
      </c>
      <c r="B1344">
        <v>0.98453999999999997</v>
      </c>
      <c r="D1344">
        <v>1261.15191</v>
      </c>
      <c r="E1344">
        <v>0.98524</v>
      </c>
    </row>
    <row r="1345" spans="1:5" x14ac:dyDescent="0.25">
      <c r="A1345">
        <v>1259.11121</v>
      </c>
      <c r="B1345">
        <v>0.98475000000000001</v>
      </c>
      <c r="D1345">
        <v>1259.11121</v>
      </c>
      <c r="E1345">
        <v>0.98524</v>
      </c>
    </row>
    <row r="1346" spans="1:5" x14ac:dyDescent="0.25">
      <c r="A1346">
        <v>1257.07052</v>
      </c>
      <c r="B1346">
        <v>0.98487000000000002</v>
      </c>
      <c r="D1346">
        <v>1257.07052</v>
      </c>
      <c r="E1346">
        <v>0.98546</v>
      </c>
    </row>
    <row r="1347" spans="1:5" x14ac:dyDescent="0.25">
      <c r="A1347">
        <v>1255.02982</v>
      </c>
      <c r="B1347">
        <v>0.98489000000000004</v>
      </c>
      <c r="D1347">
        <v>1255.02982</v>
      </c>
      <c r="E1347">
        <v>0.98546999999999996</v>
      </c>
    </row>
    <row r="1348" spans="1:5" x14ac:dyDescent="0.25">
      <c r="A1348">
        <v>1252.98912</v>
      </c>
      <c r="B1348">
        <v>0.98482000000000003</v>
      </c>
      <c r="D1348">
        <v>1252.98912</v>
      </c>
      <c r="E1348">
        <v>0.98543999999999998</v>
      </c>
    </row>
    <row r="1349" spans="1:5" x14ac:dyDescent="0.25">
      <c r="A1349">
        <v>1250.9484199999999</v>
      </c>
      <c r="B1349">
        <v>0.98472999999999999</v>
      </c>
      <c r="D1349">
        <v>1250.9484199999999</v>
      </c>
      <c r="E1349">
        <v>0.98536999999999997</v>
      </c>
    </row>
    <row r="1350" spans="1:5" x14ac:dyDescent="0.25">
      <c r="A1350">
        <v>1248.9077199999999</v>
      </c>
      <c r="B1350">
        <v>0.98468</v>
      </c>
      <c r="D1350">
        <v>1248.9077199999999</v>
      </c>
      <c r="E1350">
        <v>0.98509999999999998</v>
      </c>
    </row>
    <row r="1351" spans="1:5" x14ac:dyDescent="0.25">
      <c r="A1351">
        <v>1246.8670199999999</v>
      </c>
      <c r="B1351">
        <v>0.98470999999999997</v>
      </c>
      <c r="D1351">
        <v>1246.8670199999999</v>
      </c>
      <c r="E1351">
        <v>0.98477000000000003</v>
      </c>
    </row>
    <row r="1352" spans="1:5" x14ac:dyDescent="0.25">
      <c r="A1352">
        <v>1244.8263199999999</v>
      </c>
      <c r="B1352">
        <v>0.98487000000000002</v>
      </c>
      <c r="D1352">
        <v>1244.8263199999999</v>
      </c>
      <c r="E1352">
        <v>0.98475999999999997</v>
      </c>
    </row>
    <row r="1353" spans="1:5" x14ac:dyDescent="0.25">
      <c r="A1353">
        <v>1242.7856200000001</v>
      </c>
      <c r="B1353">
        <v>0.98509999999999998</v>
      </c>
      <c r="D1353">
        <v>1242.7856200000001</v>
      </c>
      <c r="E1353">
        <v>0.98519000000000001</v>
      </c>
    </row>
    <row r="1354" spans="1:5" x14ac:dyDescent="0.25">
      <c r="A1354">
        <v>1240.7449200000001</v>
      </c>
      <c r="B1354">
        <v>0.98536000000000001</v>
      </c>
      <c r="D1354">
        <v>1240.7449200000001</v>
      </c>
      <c r="E1354">
        <v>0.98570000000000002</v>
      </c>
    </row>
    <row r="1355" spans="1:5" x14ac:dyDescent="0.25">
      <c r="A1355">
        <v>1238.7042300000001</v>
      </c>
      <c r="B1355">
        <v>0.98565999999999998</v>
      </c>
      <c r="D1355">
        <v>1238.7042300000001</v>
      </c>
      <c r="E1355">
        <v>0.98604999999999998</v>
      </c>
    </row>
    <row r="1356" spans="1:5" x14ac:dyDescent="0.25">
      <c r="A1356">
        <v>1236.66353</v>
      </c>
      <c r="B1356">
        <v>0.98602000000000001</v>
      </c>
      <c r="D1356">
        <v>1236.66353</v>
      </c>
      <c r="E1356">
        <v>0.98645000000000005</v>
      </c>
    </row>
    <row r="1357" spans="1:5" x14ac:dyDescent="0.25">
      <c r="A1357">
        <v>1234.62283</v>
      </c>
      <c r="B1357">
        <v>0.98646</v>
      </c>
      <c r="D1357">
        <v>1234.62283</v>
      </c>
      <c r="E1357">
        <v>0.98707</v>
      </c>
    </row>
    <row r="1358" spans="1:5" x14ac:dyDescent="0.25">
      <c r="A1358">
        <v>1232.58213</v>
      </c>
      <c r="B1358">
        <v>0.98697999999999997</v>
      </c>
      <c r="D1358">
        <v>1232.58213</v>
      </c>
      <c r="E1358">
        <v>0.98777000000000004</v>
      </c>
    </row>
    <row r="1359" spans="1:5" x14ac:dyDescent="0.25">
      <c r="A1359">
        <v>1230.54143</v>
      </c>
      <c r="B1359">
        <v>0.98758000000000001</v>
      </c>
      <c r="D1359">
        <v>1230.54143</v>
      </c>
      <c r="E1359">
        <v>0.98824999999999996</v>
      </c>
    </row>
    <row r="1360" spans="1:5" x14ac:dyDescent="0.25">
      <c r="A1360">
        <v>1228.50073</v>
      </c>
      <c r="B1360">
        <v>0.98819000000000001</v>
      </c>
      <c r="D1360">
        <v>1228.50073</v>
      </c>
      <c r="E1360">
        <v>0.98845000000000005</v>
      </c>
    </row>
    <row r="1361" spans="1:5" x14ac:dyDescent="0.25">
      <c r="A1361">
        <v>1226.46003</v>
      </c>
      <c r="B1361">
        <v>0.98870000000000002</v>
      </c>
      <c r="D1361">
        <v>1226.46003</v>
      </c>
      <c r="E1361">
        <v>0.98858999999999997</v>
      </c>
    </row>
    <row r="1362" spans="1:5" x14ac:dyDescent="0.25">
      <c r="A1362">
        <v>1224.4193299999999</v>
      </c>
      <c r="B1362">
        <v>0.98912999999999995</v>
      </c>
      <c r="D1362">
        <v>1224.4193299999999</v>
      </c>
      <c r="E1362">
        <v>0.98902000000000001</v>
      </c>
    </row>
    <row r="1363" spans="1:5" x14ac:dyDescent="0.25">
      <c r="A1363">
        <v>1222.3786299999999</v>
      </c>
      <c r="B1363">
        <v>0.98953999999999998</v>
      </c>
      <c r="D1363">
        <v>1222.3786299999999</v>
      </c>
      <c r="E1363">
        <v>0.9899</v>
      </c>
    </row>
    <row r="1364" spans="1:5" x14ac:dyDescent="0.25">
      <c r="A1364">
        <v>1220.3379399999999</v>
      </c>
      <c r="B1364">
        <v>0.98994000000000004</v>
      </c>
      <c r="D1364">
        <v>1220.3379399999999</v>
      </c>
      <c r="E1364">
        <v>0.99073</v>
      </c>
    </row>
    <row r="1365" spans="1:5" x14ac:dyDescent="0.25">
      <c r="A1365">
        <v>1218.2972400000001</v>
      </c>
      <c r="B1365">
        <v>0.99031000000000002</v>
      </c>
      <c r="D1365">
        <v>1218.2972400000001</v>
      </c>
      <c r="E1365">
        <v>0.99116000000000004</v>
      </c>
    </row>
    <row r="1366" spans="1:5" x14ac:dyDescent="0.25">
      <c r="A1366">
        <v>1216.2565400000001</v>
      </c>
      <c r="B1366">
        <v>0.99063999999999997</v>
      </c>
      <c r="D1366">
        <v>1216.2565400000001</v>
      </c>
      <c r="E1366">
        <v>0.99131999999999998</v>
      </c>
    </row>
    <row r="1367" spans="1:5" x14ac:dyDescent="0.25">
      <c r="A1367">
        <v>1214.2158400000001</v>
      </c>
      <c r="B1367">
        <v>0.99095999999999995</v>
      </c>
      <c r="D1367">
        <v>1214.2158400000001</v>
      </c>
      <c r="E1367">
        <v>0.99134</v>
      </c>
    </row>
    <row r="1368" spans="1:5" x14ac:dyDescent="0.25">
      <c r="A1368">
        <v>1212.1751400000001</v>
      </c>
      <c r="B1368">
        <v>0.99126000000000003</v>
      </c>
      <c r="D1368">
        <v>1212.1751400000001</v>
      </c>
      <c r="E1368">
        <v>0.99141000000000001</v>
      </c>
    </row>
    <row r="1369" spans="1:5" x14ac:dyDescent="0.25">
      <c r="A1369">
        <v>1210.13444</v>
      </c>
      <c r="B1369">
        <v>0.99151999999999996</v>
      </c>
      <c r="D1369">
        <v>1210.13444</v>
      </c>
      <c r="E1369">
        <v>0.99175999999999997</v>
      </c>
    </row>
    <row r="1370" spans="1:5" x14ac:dyDescent="0.25">
      <c r="A1370">
        <v>1208.09374</v>
      </c>
      <c r="B1370">
        <v>0.99173999999999995</v>
      </c>
      <c r="D1370">
        <v>1208.09374</v>
      </c>
      <c r="E1370">
        <v>0.99224000000000001</v>
      </c>
    </row>
    <row r="1371" spans="1:5" x14ac:dyDescent="0.25">
      <c r="A1371">
        <v>1206.05304</v>
      </c>
      <c r="B1371">
        <v>0.99197000000000002</v>
      </c>
      <c r="D1371">
        <v>1206.05304</v>
      </c>
      <c r="E1371">
        <v>0.99256</v>
      </c>
    </row>
    <row r="1372" spans="1:5" x14ac:dyDescent="0.25">
      <c r="A1372">
        <v>1204.01234</v>
      </c>
      <c r="B1372">
        <v>0.99224000000000001</v>
      </c>
      <c r="D1372">
        <v>1204.01234</v>
      </c>
      <c r="E1372">
        <v>0.99268999999999996</v>
      </c>
    </row>
    <row r="1373" spans="1:5" x14ac:dyDescent="0.25">
      <c r="A1373">
        <v>1201.97165</v>
      </c>
      <c r="B1373">
        <v>0.99255000000000004</v>
      </c>
      <c r="D1373">
        <v>1201.97165</v>
      </c>
      <c r="E1373">
        <v>0.99289000000000005</v>
      </c>
    </row>
    <row r="1374" spans="1:5" x14ac:dyDescent="0.25">
      <c r="A1374">
        <v>1199.9309499999999</v>
      </c>
      <c r="B1374">
        <v>0.99287999999999998</v>
      </c>
      <c r="D1374">
        <v>1199.9309499999999</v>
      </c>
      <c r="E1374">
        <v>0.99314000000000002</v>
      </c>
    </row>
    <row r="1375" spans="1:5" x14ac:dyDescent="0.25">
      <c r="A1375">
        <v>1197.8902499999999</v>
      </c>
      <c r="B1375">
        <v>0.99326000000000003</v>
      </c>
      <c r="D1375">
        <v>1197.8902499999999</v>
      </c>
      <c r="E1375">
        <v>0.99353000000000002</v>
      </c>
    </row>
    <row r="1376" spans="1:5" x14ac:dyDescent="0.25">
      <c r="A1376">
        <v>1195.8495499999999</v>
      </c>
      <c r="B1376">
        <v>0.99363999999999997</v>
      </c>
      <c r="D1376">
        <v>1195.8495499999999</v>
      </c>
      <c r="E1376">
        <v>0.99402999999999997</v>
      </c>
    </row>
    <row r="1377" spans="1:5" x14ac:dyDescent="0.25">
      <c r="A1377">
        <v>1193.8088499999999</v>
      </c>
      <c r="B1377">
        <v>0.99399999999999999</v>
      </c>
      <c r="D1377">
        <v>1193.8088499999999</v>
      </c>
      <c r="E1377">
        <v>0.99463999999999997</v>
      </c>
    </row>
    <row r="1378" spans="1:5" x14ac:dyDescent="0.25">
      <c r="A1378">
        <v>1191.7681500000001</v>
      </c>
      <c r="B1378">
        <v>0.99434999999999996</v>
      </c>
      <c r="D1378">
        <v>1191.7681500000001</v>
      </c>
      <c r="E1378">
        <v>0.99509000000000003</v>
      </c>
    </row>
    <row r="1379" spans="1:5" x14ac:dyDescent="0.25">
      <c r="A1379">
        <v>1189.7274500000001</v>
      </c>
      <c r="B1379">
        <v>0.99467000000000005</v>
      </c>
      <c r="D1379">
        <v>1189.7274500000001</v>
      </c>
      <c r="E1379">
        <v>0.99517999999999995</v>
      </c>
    </row>
    <row r="1380" spans="1:5" x14ac:dyDescent="0.25">
      <c r="A1380">
        <v>1187.6867500000001</v>
      </c>
      <c r="B1380">
        <v>0.99490999999999996</v>
      </c>
      <c r="D1380">
        <v>1187.6867500000001</v>
      </c>
      <c r="E1380">
        <v>0.99519000000000002</v>
      </c>
    </row>
    <row r="1381" spans="1:5" x14ac:dyDescent="0.25">
      <c r="A1381">
        <v>1185.6460500000001</v>
      </c>
      <c r="B1381">
        <v>0.99512999999999996</v>
      </c>
      <c r="D1381">
        <v>1185.6460500000001</v>
      </c>
      <c r="E1381">
        <v>0.99543999999999999</v>
      </c>
    </row>
    <row r="1382" spans="1:5" x14ac:dyDescent="0.25">
      <c r="A1382">
        <v>1183.60536</v>
      </c>
      <c r="B1382">
        <v>0.99534999999999996</v>
      </c>
      <c r="D1382">
        <v>1183.60536</v>
      </c>
      <c r="E1382">
        <v>0.99565000000000003</v>
      </c>
    </row>
    <row r="1383" spans="1:5" x14ac:dyDescent="0.25">
      <c r="A1383">
        <v>1181.56466</v>
      </c>
      <c r="B1383">
        <v>0.99558000000000002</v>
      </c>
      <c r="D1383">
        <v>1181.56466</v>
      </c>
      <c r="E1383">
        <v>0.99572000000000005</v>
      </c>
    </row>
    <row r="1384" spans="1:5" x14ac:dyDescent="0.25">
      <c r="A1384">
        <v>1179.52396</v>
      </c>
      <c r="B1384">
        <v>0.99582000000000004</v>
      </c>
      <c r="D1384">
        <v>1179.52396</v>
      </c>
      <c r="E1384">
        <v>0.99592000000000003</v>
      </c>
    </row>
    <row r="1385" spans="1:5" x14ac:dyDescent="0.25">
      <c r="A1385">
        <v>1177.48326</v>
      </c>
      <c r="B1385">
        <v>0.99607000000000001</v>
      </c>
      <c r="D1385">
        <v>1177.48326</v>
      </c>
      <c r="E1385">
        <v>0.99602000000000002</v>
      </c>
    </row>
    <row r="1386" spans="1:5" x14ac:dyDescent="0.25">
      <c r="A1386">
        <v>1175.44256</v>
      </c>
      <c r="B1386">
        <v>0.99629000000000001</v>
      </c>
      <c r="D1386">
        <v>1175.44256</v>
      </c>
      <c r="E1386">
        <v>0.99585999999999997</v>
      </c>
    </row>
    <row r="1387" spans="1:5" x14ac:dyDescent="0.25">
      <c r="A1387">
        <v>1173.4018599999999</v>
      </c>
      <c r="B1387">
        <v>0.99650000000000005</v>
      </c>
      <c r="D1387">
        <v>1173.4018599999999</v>
      </c>
      <c r="E1387">
        <v>0.99599000000000004</v>
      </c>
    </row>
    <row r="1388" spans="1:5" x14ac:dyDescent="0.25">
      <c r="A1388">
        <v>1171.3611599999999</v>
      </c>
      <c r="B1388">
        <v>0.99668999999999996</v>
      </c>
      <c r="D1388">
        <v>1171.3611599999999</v>
      </c>
      <c r="E1388">
        <v>0.99648000000000003</v>
      </c>
    </row>
    <row r="1389" spans="1:5" x14ac:dyDescent="0.25">
      <c r="A1389">
        <v>1169.3204599999999</v>
      </c>
      <c r="B1389">
        <v>0.99687999999999999</v>
      </c>
      <c r="D1389">
        <v>1169.3204599999999</v>
      </c>
      <c r="E1389">
        <v>0.99678999999999995</v>
      </c>
    </row>
    <row r="1390" spans="1:5" x14ac:dyDescent="0.25">
      <c r="A1390">
        <v>1167.2797599999999</v>
      </c>
      <c r="B1390">
        <v>0.99705999999999995</v>
      </c>
      <c r="D1390">
        <v>1167.2797599999999</v>
      </c>
      <c r="E1390">
        <v>0.99694000000000005</v>
      </c>
    </row>
    <row r="1391" spans="1:5" x14ac:dyDescent="0.25">
      <c r="A1391">
        <v>1165.2390700000001</v>
      </c>
      <c r="B1391">
        <v>0.99726000000000004</v>
      </c>
      <c r="D1391">
        <v>1165.2390700000001</v>
      </c>
      <c r="E1391">
        <v>0.99709999999999999</v>
      </c>
    </row>
    <row r="1392" spans="1:5" x14ac:dyDescent="0.25">
      <c r="A1392">
        <v>1163.1983700000001</v>
      </c>
      <c r="B1392">
        <v>0.99746999999999997</v>
      </c>
      <c r="D1392">
        <v>1163.1983700000001</v>
      </c>
      <c r="E1392">
        <v>0.99712999999999996</v>
      </c>
    </row>
    <row r="1393" spans="1:5" x14ac:dyDescent="0.25">
      <c r="A1393">
        <v>1161.1576700000001</v>
      </c>
      <c r="B1393">
        <v>0.99768000000000001</v>
      </c>
      <c r="D1393">
        <v>1161.1576700000001</v>
      </c>
      <c r="E1393">
        <v>0.99711000000000005</v>
      </c>
    </row>
    <row r="1394" spans="1:5" x14ac:dyDescent="0.25">
      <c r="A1394">
        <v>1159.11697</v>
      </c>
      <c r="B1394">
        <v>0.99787000000000003</v>
      </c>
      <c r="D1394">
        <v>1159.11697</v>
      </c>
      <c r="E1394">
        <v>0.99724000000000002</v>
      </c>
    </row>
    <row r="1395" spans="1:5" x14ac:dyDescent="0.25">
      <c r="A1395">
        <v>1157.07627</v>
      </c>
      <c r="B1395">
        <v>0.99799000000000004</v>
      </c>
      <c r="D1395">
        <v>1157.07627</v>
      </c>
      <c r="E1395">
        <v>0.99751999999999996</v>
      </c>
    </row>
    <row r="1396" spans="1:5" x14ac:dyDescent="0.25">
      <c r="A1396">
        <v>1155.03557</v>
      </c>
      <c r="B1396">
        <v>0.99809000000000003</v>
      </c>
      <c r="D1396">
        <v>1155.03557</v>
      </c>
      <c r="E1396">
        <v>0.99792000000000003</v>
      </c>
    </row>
    <row r="1397" spans="1:5" x14ac:dyDescent="0.25">
      <c r="A1397">
        <v>1152.99487</v>
      </c>
      <c r="B1397">
        <v>0.99824000000000002</v>
      </c>
      <c r="D1397">
        <v>1152.99487</v>
      </c>
      <c r="E1397">
        <v>0.99822999999999995</v>
      </c>
    </row>
    <row r="1398" spans="1:5" x14ac:dyDescent="0.25">
      <c r="A1398">
        <v>1150.95417</v>
      </c>
      <c r="B1398">
        <v>0.99841999999999997</v>
      </c>
      <c r="D1398">
        <v>1150.95417</v>
      </c>
      <c r="E1398">
        <v>0.99839</v>
      </c>
    </row>
    <row r="1399" spans="1:5" x14ac:dyDescent="0.25">
      <c r="A1399">
        <v>1148.91347</v>
      </c>
      <c r="B1399">
        <v>0.99858999999999998</v>
      </c>
      <c r="D1399">
        <v>1148.91347</v>
      </c>
      <c r="E1399">
        <v>0.99863000000000002</v>
      </c>
    </row>
    <row r="1400" spans="1:5" x14ac:dyDescent="0.25">
      <c r="A1400">
        <v>1146.8727799999999</v>
      </c>
      <c r="B1400">
        <v>0.99877000000000005</v>
      </c>
      <c r="D1400">
        <v>1146.8727799999999</v>
      </c>
      <c r="E1400">
        <v>0.99887999999999999</v>
      </c>
    </row>
    <row r="1401" spans="1:5" x14ac:dyDescent="0.25">
      <c r="A1401">
        <v>1144.8320799999999</v>
      </c>
      <c r="B1401">
        <v>0.99895</v>
      </c>
      <c r="D1401">
        <v>1144.8320799999999</v>
      </c>
      <c r="E1401">
        <v>0.99900999999999995</v>
      </c>
    </row>
    <row r="1402" spans="1:5" x14ac:dyDescent="0.25">
      <c r="A1402">
        <v>1142.7913799999999</v>
      </c>
      <c r="B1402">
        <v>0.99912000000000001</v>
      </c>
      <c r="D1402">
        <v>1142.7913799999999</v>
      </c>
      <c r="E1402">
        <v>0.99924000000000002</v>
      </c>
    </row>
    <row r="1403" spans="1:5" x14ac:dyDescent="0.25">
      <c r="A1403">
        <v>1140.7506800000001</v>
      </c>
      <c r="B1403">
        <v>0.99929000000000001</v>
      </c>
      <c r="D1403">
        <v>1140.7506800000001</v>
      </c>
      <c r="E1403">
        <v>0.99958999999999998</v>
      </c>
    </row>
    <row r="1404" spans="1:5" x14ac:dyDescent="0.25">
      <c r="A1404">
        <v>1138.7099800000001</v>
      </c>
      <c r="B1404">
        <v>0.99944999999999995</v>
      </c>
      <c r="D1404">
        <v>1138.7099800000001</v>
      </c>
      <c r="E1404">
        <v>0.99966999999999995</v>
      </c>
    </row>
    <row r="1405" spans="1:5" x14ac:dyDescent="0.25">
      <c r="A1405">
        <v>1136.6692800000001</v>
      </c>
      <c r="B1405">
        <v>0.99960000000000004</v>
      </c>
      <c r="D1405">
        <v>1136.6692800000001</v>
      </c>
      <c r="E1405">
        <v>0.99953999999999998</v>
      </c>
    </row>
    <row r="1406" spans="1:5" x14ac:dyDescent="0.25">
      <c r="A1406">
        <v>1134.6285800000001</v>
      </c>
      <c r="B1406">
        <v>0.99973000000000001</v>
      </c>
      <c r="D1406">
        <v>1134.6285800000001</v>
      </c>
      <c r="E1406">
        <v>0.99968999999999997</v>
      </c>
    </row>
    <row r="1407" spans="1:5" x14ac:dyDescent="0.25">
      <c r="A1407">
        <v>1132.58788</v>
      </c>
      <c r="B1407">
        <v>0.99983999999999995</v>
      </c>
      <c r="D1407">
        <v>1132.58788</v>
      </c>
      <c r="E1407">
        <v>1</v>
      </c>
    </row>
    <row r="1408" spans="1:5" x14ac:dyDescent="0.25">
      <c r="A1408">
        <v>1130.54718</v>
      </c>
      <c r="B1408">
        <v>0.99995999999999996</v>
      </c>
      <c r="D1408">
        <v>1130.54718</v>
      </c>
      <c r="E1408">
        <v>1.00027</v>
      </c>
    </row>
    <row r="1409" spans="1:5" x14ac:dyDescent="0.25">
      <c r="A1409">
        <v>1128.50649</v>
      </c>
      <c r="B1409">
        <v>1.00007</v>
      </c>
      <c r="D1409">
        <v>1128.50649</v>
      </c>
      <c r="E1409">
        <v>1.0004900000000001</v>
      </c>
    </row>
    <row r="1410" spans="1:5" x14ac:dyDescent="0.25">
      <c r="A1410">
        <v>1126.46579</v>
      </c>
      <c r="B1410">
        <v>1.0001599999999999</v>
      </c>
      <c r="D1410">
        <v>1126.46579</v>
      </c>
      <c r="E1410">
        <v>1.0006200000000001</v>
      </c>
    </row>
    <row r="1411" spans="1:5" x14ac:dyDescent="0.25">
      <c r="A1411">
        <v>1124.42509</v>
      </c>
      <c r="B1411">
        <v>1.00023</v>
      </c>
      <c r="D1411">
        <v>1124.42509</v>
      </c>
      <c r="E1411">
        <v>1.00057</v>
      </c>
    </row>
    <row r="1412" spans="1:5" x14ac:dyDescent="0.25">
      <c r="A1412">
        <v>1122.3843899999999</v>
      </c>
      <c r="B1412">
        <v>1.0002899999999999</v>
      </c>
      <c r="D1412">
        <v>1122.3843899999999</v>
      </c>
      <c r="E1412">
        <v>1.00047</v>
      </c>
    </row>
    <row r="1413" spans="1:5" x14ac:dyDescent="0.25">
      <c r="A1413">
        <v>1120.3436899999999</v>
      </c>
      <c r="B1413">
        <v>1.0002899999999999</v>
      </c>
      <c r="D1413">
        <v>1120.3436899999999</v>
      </c>
      <c r="E1413">
        <v>1.00037</v>
      </c>
    </row>
    <row r="1414" spans="1:5" x14ac:dyDescent="0.25">
      <c r="A1414">
        <v>1118.3029899999999</v>
      </c>
      <c r="B1414">
        <v>1.0002500000000001</v>
      </c>
      <c r="D1414">
        <v>1118.3029899999999</v>
      </c>
      <c r="E1414">
        <v>1.0002200000000001</v>
      </c>
    </row>
    <row r="1415" spans="1:5" x14ac:dyDescent="0.25">
      <c r="A1415">
        <v>1116.2622899999999</v>
      </c>
      <c r="B1415">
        <v>1.00017</v>
      </c>
      <c r="D1415">
        <v>1116.2622899999999</v>
      </c>
      <c r="E1415">
        <v>1.00003</v>
      </c>
    </row>
    <row r="1416" spans="1:5" x14ac:dyDescent="0.25">
      <c r="A1416">
        <v>1114.2215900000001</v>
      </c>
      <c r="B1416">
        <v>1.0001</v>
      </c>
      <c r="D1416">
        <v>1114.2215900000001</v>
      </c>
      <c r="E1416">
        <v>0.99983</v>
      </c>
    </row>
    <row r="1417" spans="1:5" x14ac:dyDescent="0.25">
      <c r="A1417">
        <v>1112.1808900000001</v>
      </c>
      <c r="B1417">
        <v>1.0000199999999999</v>
      </c>
      <c r="D1417">
        <v>1112.1808900000001</v>
      </c>
      <c r="E1417">
        <v>0.99961</v>
      </c>
    </row>
    <row r="1418" spans="1:5" x14ac:dyDescent="0.25">
      <c r="A1418">
        <v>1110.1402</v>
      </c>
      <c r="B1418">
        <v>0.99990999999999997</v>
      </c>
      <c r="D1418">
        <v>1110.1402</v>
      </c>
      <c r="E1418">
        <v>0.99946999999999997</v>
      </c>
    </row>
    <row r="1419" spans="1:5" x14ac:dyDescent="0.25">
      <c r="A1419">
        <v>1108.0995</v>
      </c>
      <c r="B1419">
        <v>0.99973000000000001</v>
      </c>
      <c r="D1419">
        <v>1108.0995</v>
      </c>
      <c r="E1419">
        <v>0.99941999999999998</v>
      </c>
    </row>
    <row r="1420" spans="1:5" x14ac:dyDescent="0.25">
      <c r="A1420">
        <v>1106.0588</v>
      </c>
      <c r="B1420">
        <v>0.99944</v>
      </c>
      <c r="D1420">
        <v>1106.0588</v>
      </c>
      <c r="E1420">
        <v>0.99929000000000001</v>
      </c>
    </row>
    <row r="1421" spans="1:5" x14ac:dyDescent="0.25">
      <c r="A1421">
        <v>1104.0181</v>
      </c>
      <c r="B1421">
        <v>0.99902999999999997</v>
      </c>
      <c r="D1421">
        <v>1104.0181</v>
      </c>
      <c r="E1421">
        <v>0.99909999999999999</v>
      </c>
    </row>
    <row r="1422" spans="1:5" x14ac:dyDescent="0.25">
      <c r="A1422">
        <v>1101.9774</v>
      </c>
      <c r="B1422">
        <v>0.99848999999999999</v>
      </c>
      <c r="D1422">
        <v>1101.9774</v>
      </c>
      <c r="E1422">
        <v>0.99890000000000001</v>
      </c>
    </row>
    <row r="1423" spans="1:5" x14ac:dyDescent="0.25">
      <c r="A1423">
        <v>1099.9367</v>
      </c>
      <c r="B1423">
        <v>0.99780999999999997</v>
      </c>
      <c r="D1423">
        <v>1099.9367</v>
      </c>
      <c r="E1423">
        <v>0.99851000000000001</v>
      </c>
    </row>
    <row r="1424" spans="1:5" x14ac:dyDescent="0.25">
      <c r="A1424">
        <v>1097.896</v>
      </c>
      <c r="B1424">
        <v>0.99697999999999998</v>
      </c>
      <c r="D1424">
        <v>1097.896</v>
      </c>
      <c r="E1424">
        <v>0.99795</v>
      </c>
    </row>
    <row r="1425" spans="1:5" x14ac:dyDescent="0.25">
      <c r="A1425">
        <v>1095.8552999999999</v>
      </c>
      <c r="B1425">
        <v>0.99605999999999995</v>
      </c>
      <c r="D1425">
        <v>1095.8552999999999</v>
      </c>
      <c r="E1425">
        <v>0.99751999999999996</v>
      </c>
    </row>
    <row r="1426" spans="1:5" x14ac:dyDescent="0.25">
      <c r="A1426">
        <v>1093.8145999999999</v>
      </c>
      <c r="B1426">
        <v>0.99507000000000001</v>
      </c>
      <c r="D1426">
        <v>1093.8145999999999</v>
      </c>
      <c r="E1426">
        <v>0.99717</v>
      </c>
    </row>
    <row r="1427" spans="1:5" x14ac:dyDescent="0.25">
      <c r="A1427">
        <v>1091.7739099999999</v>
      </c>
      <c r="B1427">
        <v>0.99409000000000003</v>
      </c>
      <c r="D1427">
        <v>1091.7739099999999</v>
      </c>
      <c r="E1427">
        <v>0.99670000000000003</v>
      </c>
    </row>
    <row r="1428" spans="1:5" x14ac:dyDescent="0.25">
      <c r="A1428">
        <v>1089.7332100000001</v>
      </c>
      <c r="B1428">
        <v>0.99316000000000004</v>
      </c>
      <c r="D1428">
        <v>1089.7332100000001</v>
      </c>
      <c r="E1428">
        <v>0.99614999999999998</v>
      </c>
    </row>
    <row r="1429" spans="1:5" x14ac:dyDescent="0.25">
      <c r="A1429">
        <v>1087.6925100000001</v>
      </c>
      <c r="B1429">
        <v>0.99236000000000002</v>
      </c>
      <c r="D1429">
        <v>1087.6925100000001</v>
      </c>
      <c r="E1429">
        <v>0.99544999999999995</v>
      </c>
    </row>
    <row r="1430" spans="1:5" x14ac:dyDescent="0.25">
      <c r="A1430">
        <v>1085.6518100000001</v>
      </c>
      <c r="B1430">
        <v>0.99175000000000002</v>
      </c>
      <c r="D1430">
        <v>1085.6518100000001</v>
      </c>
      <c r="E1430">
        <v>0.99461999999999995</v>
      </c>
    </row>
    <row r="1431" spans="1:5" x14ac:dyDescent="0.25">
      <c r="A1431">
        <v>1083.6111100000001</v>
      </c>
      <c r="B1431">
        <v>0.99141000000000001</v>
      </c>
      <c r="D1431">
        <v>1083.6111100000001</v>
      </c>
      <c r="E1431">
        <v>0.99397000000000002</v>
      </c>
    </row>
    <row r="1432" spans="1:5" x14ac:dyDescent="0.25">
      <c r="A1432">
        <v>1081.57041</v>
      </c>
      <c r="B1432">
        <v>0.99134</v>
      </c>
      <c r="D1432">
        <v>1081.57041</v>
      </c>
      <c r="E1432">
        <v>0.99365000000000003</v>
      </c>
    </row>
    <row r="1433" spans="1:5" x14ac:dyDescent="0.25">
      <c r="A1433">
        <v>1079.52971</v>
      </c>
      <c r="B1433">
        <v>0.99153000000000002</v>
      </c>
      <c r="D1433">
        <v>1079.52971</v>
      </c>
      <c r="E1433">
        <v>0.99341000000000002</v>
      </c>
    </row>
    <row r="1434" spans="1:5" x14ac:dyDescent="0.25">
      <c r="A1434">
        <v>1077.48901</v>
      </c>
      <c r="B1434">
        <v>0.99192999999999998</v>
      </c>
      <c r="D1434">
        <v>1077.48901</v>
      </c>
      <c r="E1434">
        <v>0.99317999999999995</v>
      </c>
    </row>
    <row r="1435" spans="1:5" x14ac:dyDescent="0.25">
      <c r="A1435">
        <v>1075.44831</v>
      </c>
      <c r="B1435">
        <v>0.99251999999999996</v>
      </c>
      <c r="D1435">
        <v>1075.44831</v>
      </c>
      <c r="E1435">
        <v>0.99321000000000004</v>
      </c>
    </row>
    <row r="1436" spans="1:5" x14ac:dyDescent="0.25">
      <c r="A1436">
        <v>1073.40762</v>
      </c>
      <c r="B1436">
        <v>0.99324999999999997</v>
      </c>
      <c r="D1436">
        <v>1073.40762</v>
      </c>
      <c r="E1436">
        <v>0.99361999999999995</v>
      </c>
    </row>
    <row r="1437" spans="1:5" x14ac:dyDescent="0.25">
      <c r="A1437">
        <v>1071.3669199999999</v>
      </c>
      <c r="B1437">
        <v>0.99404999999999999</v>
      </c>
      <c r="D1437">
        <v>1071.3669199999999</v>
      </c>
      <c r="E1437">
        <v>0.99429999999999996</v>
      </c>
    </row>
    <row r="1438" spans="1:5" x14ac:dyDescent="0.25">
      <c r="A1438">
        <v>1069.3262199999999</v>
      </c>
      <c r="B1438">
        <v>0.99485000000000001</v>
      </c>
      <c r="D1438">
        <v>1069.3262199999999</v>
      </c>
      <c r="E1438">
        <v>0.99485999999999997</v>
      </c>
    </row>
    <row r="1439" spans="1:5" x14ac:dyDescent="0.25">
      <c r="A1439">
        <v>1067.2855199999999</v>
      </c>
      <c r="B1439">
        <v>0.99556</v>
      </c>
      <c r="D1439">
        <v>1067.2855199999999</v>
      </c>
      <c r="E1439">
        <v>0.99502000000000002</v>
      </c>
    </row>
    <row r="1440" spans="1:5" x14ac:dyDescent="0.25">
      <c r="A1440">
        <v>1065.2448199999999</v>
      </c>
      <c r="B1440">
        <v>0.99604000000000004</v>
      </c>
      <c r="D1440">
        <v>1065.2448199999999</v>
      </c>
      <c r="E1440">
        <v>0.99526000000000003</v>
      </c>
    </row>
    <row r="1441" spans="1:5" x14ac:dyDescent="0.25">
      <c r="A1441">
        <v>1063.2041200000001</v>
      </c>
      <c r="B1441">
        <v>0.99612000000000001</v>
      </c>
      <c r="D1441">
        <v>1063.2041200000001</v>
      </c>
      <c r="E1441">
        <v>0.99595999999999996</v>
      </c>
    </row>
    <row r="1442" spans="1:5" x14ac:dyDescent="0.25">
      <c r="A1442">
        <v>1061.1634200000001</v>
      </c>
      <c r="B1442">
        <v>0.99565999999999999</v>
      </c>
      <c r="D1442">
        <v>1061.1634200000001</v>
      </c>
      <c r="E1442">
        <v>0.99668000000000001</v>
      </c>
    </row>
    <row r="1443" spans="1:5" x14ac:dyDescent="0.25">
      <c r="A1443">
        <v>1059.1227200000001</v>
      </c>
      <c r="B1443">
        <v>0.99456999999999995</v>
      </c>
      <c r="D1443">
        <v>1059.1227200000001</v>
      </c>
      <c r="E1443">
        <v>0.99697000000000002</v>
      </c>
    </row>
    <row r="1444" spans="1:5" x14ac:dyDescent="0.25">
      <c r="A1444">
        <v>1057.0820200000001</v>
      </c>
      <c r="B1444">
        <v>0.99289000000000005</v>
      </c>
      <c r="D1444">
        <v>1057.0820200000001</v>
      </c>
      <c r="E1444">
        <v>0.997</v>
      </c>
    </row>
    <row r="1445" spans="1:5" x14ac:dyDescent="0.25">
      <c r="A1445">
        <v>1055.04133</v>
      </c>
      <c r="B1445">
        <v>0.99089000000000005</v>
      </c>
      <c r="D1445">
        <v>1055.04133</v>
      </c>
      <c r="E1445">
        <v>0.99687000000000003</v>
      </c>
    </row>
    <row r="1446" spans="1:5" x14ac:dyDescent="0.25">
      <c r="A1446">
        <v>1053.00063</v>
      </c>
      <c r="B1446">
        <v>0.9889</v>
      </c>
      <c r="D1446">
        <v>1053.00063</v>
      </c>
      <c r="E1446">
        <v>0.99660000000000004</v>
      </c>
    </row>
    <row r="1447" spans="1:5" x14ac:dyDescent="0.25">
      <c r="A1447">
        <v>1050.95993</v>
      </c>
      <c r="B1447">
        <v>0.98714999999999997</v>
      </c>
      <c r="D1447">
        <v>1050.95993</v>
      </c>
      <c r="E1447">
        <v>0.99661</v>
      </c>
    </row>
    <row r="1448" spans="1:5" x14ac:dyDescent="0.25">
      <c r="A1448">
        <v>1048.91923</v>
      </c>
      <c r="B1448">
        <v>0.98582999999999998</v>
      </c>
      <c r="D1448">
        <v>1048.91923</v>
      </c>
      <c r="E1448">
        <v>0.99705999999999995</v>
      </c>
    </row>
    <row r="1449" spans="1:5" x14ac:dyDescent="0.25">
      <c r="A1449">
        <v>1046.87853</v>
      </c>
      <c r="B1449">
        <v>0.98502999999999996</v>
      </c>
      <c r="D1449">
        <v>1046.87853</v>
      </c>
      <c r="E1449">
        <v>0.99760000000000004</v>
      </c>
    </row>
    <row r="1450" spans="1:5" x14ac:dyDescent="0.25">
      <c r="A1450">
        <v>1044.8378299999999</v>
      </c>
      <c r="B1450">
        <v>0.98485</v>
      </c>
      <c r="D1450">
        <v>1044.8378299999999</v>
      </c>
      <c r="E1450">
        <v>0.99790000000000001</v>
      </c>
    </row>
    <row r="1451" spans="1:5" x14ac:dyDescent="0.25">
      <c r="A1451">
        <v>1042.7971299999999</v>
      </c>
      <c r="B1451">
        <v>0.98534999999999995</v>
      </c>
      <c r="D1451">
        <v>1042.7971299999999</v>
      </c>
      <c r="E1451">
        <v>0.99812000000000001</v>
      </c>
    </row>
    <row r="1452" spans="1:5" x14ac:dyDescent="0.25">
      <c r="A1452">
        <v>1040.7564299999999</v>
      </c>
      <c r="B1452">
        <v>0.98648999999999998</v>
      </c>
      <c r="D1452">
        <v>1040.7564299999999</v>
      </c>
      <c r="E1452">
        <v>0.99856</v>
      </c>
    </row>
    <row r="1453" spans="1:5" x14ac:dyDescent="0.25">
      <c r="A1453">
        <v>1038.7157299999999</v>
      </c>
      <c r="B1453">
        <v>0.98817999999999995</v>
      </c>
      <c r="D1453">
        <v>1038.7157299999999</v>
      </c>
      <c r="E1453">
        <v>0.99892999999999998</v>
      </c>
    </row>
    <row r="1454" spans="1:5" x14ac:dyDescent="0.25">
      <c r="A1454">
        <v>1036.6750400000001</v>
      </c>
      <c r="B1454">
        <v>0.99033000000000004</v>
      </c>
      <c r="D1454">
        <v>1036.6750400000001</v>
      </c>
      <c r="E1454">
        <v>0.99904999999999999</v>
      </c>
    </row>
    <row r="1455" spans="1:5" x14ac:dyDescent="0.25">
      <c r="A1455">
        <v>1034.6343400000001</v>
      </c>
      <c r="B1455">
        <v>0.99272000000000005</v>
      </c>
      <c r="D1455">
        <v>1034.6343400000001</v>
      </c>
      <c r="E1455">
        <v>0.99924000000000002</v>
      </c>
    </row>
    <row r="1456" spans="1:5" x14ac:dyDescent="0.25">
      <c r="A1456">
        <v>1032.5936400000001</v>
      </c>
      <c r="B1456">
        <v>0.99509999999999998</v>
      </c>
      <c r="D1456">
        <v>1032.5936400000001</v>
      </c>
      <c r="E1456">
        <v>0.99965000000000004</v>
      </c>
    </row>
    <row r="1457" spans="1:5" x14ac:dyDescent="0.25">
      <c r="A1457">
        <v>1030.55294</v>
      </c>
      <c r="B1457">
        <v>0.99721000000000004</v>
      </c>
      <c r="D1457">
        <v>1030.55294</v>
      </c>
      <c r="E1457">
        <v>1.0000599999999999</v>
      </c>
    </row>
    <row r="1458" spans="1:5" x14ac:dyDescent="0.25">
      <c r="A1458">
        <v>1028.51224</v>
      </c>
      <c r="B1458">
        <v>0.99883</v>
      </c>
      <c r="D1458">
        <v>1028.51224</v>
      </c>
      <c r="E1458">
        <v>1.0001800000000001</v>
      </c>
    </row>
    <row r="1459" spans="1:5" x14ac:dyDescent="0.25">
      <c r="A1459">
        <v>1026.47154</v>
      </c>
      <c r="B1459">
        <v>0.99990000000000001</v>
      </c>
      <c r="D1459">
        <v>1026.47154</v>
      </c>
      <c r="E1459">
        <v>1</v>
      </c>
    </row>
    <row r="1460" spans="1:5" x14ac:dyDescent="0.25">
      <c r="A1460">
        <v>1024.43084</v>
      </c>
      <c r="B1460">
        <v>1.0005200000000001</v>
      </c>
      <c r="D1460">
        <v>1024.43084</v>
      </c>
      <c r="E1460">
        <v>1.00031</v>
      </c>
    </row>
    <row r="1461" spans="1:5" x14ac:dyDescent="0.25">
      <c r="A1461">
        <v>1022.39014</v>
      </c>
      <c r="B1461">
        <v>1.00092</v>
      </c>
      <c r="D1461">
        <v>1022.39014</v>
      </c>
      <c r="E1461">
        <v>1.0007299999999999</v>
      </c>
    </row>
    <row r="1462" spans="1:5" x14ac:dyDescent="0.25">
      <c r="A1462">
        <v>1020.34944</v>
      </c>
      <c r="B1462">
        <v>1.00125</v>
      </c>
      <c r="D1462">
        <v>1020.34944</v>
      </c>
      <c r="E1462">
        <v>1.0012300000000001</v>
      </c>
    </row>
    <row r="1463" spans="1:5" x14ac:dyDescent="0.25">
      <c r="A1463">
        <v>1018.30875</v>
      </c>
      <c r="B1463">
        <v>1.0015700000000001</v>
      </c>
      <c r="D1463">
        <v>1018.30875</v>
      </c>
      <c r="E1463">
        <v>1.0016700000000001</v>
      </c>
    </row>
    <row r="1464" spans="1:5" x14ac:dyDescent="0.25">
      <c r="A1464">
        <v>1016.26805</v>
      </c>
      <c r="B1464">
        <v>1.00186</v>
      </c>
      <c r="D1464">
        <v>1016.26805</v>
      </c>
      <c r="E1464">
        <v>1.00186</v>
      </c>
    </row>
    <row r="1465" spans="1:5" x14ac:dyDescent="0.25">
      <c r="A1465">
        <v>1014.22735</v>
      </c>
      <c r="B1465">
        <v>1.00213</v>
      </c>
      <c r="D1465">
        <v>1014.22735</v>
      </c>
      <c r="E1465">
        <v>1.0019</v>
      </c>
    </row>
    <row r="1466" spans="1:5" x14ac:dyDescent="0.25">
      <c r="A1466">
        <v>1012.18665</v>
      </c>
      <c r="B1466">
        <v>1.0023500000000001</v>
      </c>
      <c r="D1466">
        <v>1012.18665</v>
      </c>
      <c r="E1466">
        <v>1.0020100000000001</v>
      </c>
    </row>
    <row r="1467" spans="1:5" x14ac:dyDescent="0.25">
      <c r="A1467">
        <v>1010.14595</v>
      </c>
      <c r="B1467">
        <v>1.00251</v>
      </c>
      <c r="D1467">
        <v>1010.14595</v>
      </c>
      <c r="E1467">
        <v>1.0022</v>
      </c>
    </row>
    <row r="1468" spans="1:5" x14ac:dyDescent="0.25">
      <c r="A1468">
        <v>1008.10525</v>
      </c>
      <c r="B1468">
        <v>1.00258</v>
      </c>
      <c r="D1468">
        <v>1008.10525</v>
      </c>
      <c r="E1468">
        <v>1.0023899999999999</v>
      </c>
    </row>
    <row r="1469" spans="1:5" x14ac:dyDescent="0.25">
      <c r="A1469">
        <v>1006.0645500000001</v>
      </c>
      <c r="B1469">
        <v>1.00257</v>
      </c>
      <c r="D1469">
        <v>1006.0645500000001</v>
      </c>
      <c r="E1469">
        <v>1.0025599999999999</v>
      </c>
    </row>
    <row r="1470" spans="1:5" x14ac:dyDescent="0.25">
      <c r="A1470">
        <v>1004.02385</v>
      </c>
      <c r="B1470">
        <v>1.0025200000000001</v>
      </c>
      <c r="D1470">
        <v>1004.02385</v>
      </c>
      <c r="E1470">
        <v>1.0025200000000001</v>
      </c>
    </row>
    <row r="1471" spans="1:5" x14ac:dyDescent="0.25">
      <c r="A1471">
        <v>1001.98315</v>
      </c>
      <c r="B1471">
        <v>1.0024299999999999</v>
      </c>
      <c r="D1471">
        <v>1001.98315</v>
      </c>
      <c r="E1471">
        <v>1.00231</v>
      </c>
    </row>
    <row r="1472" spans="1:5" x14ac:dyDescent="0.25">
      <c r="A1472">
        <v>999.94245999999998</v>
      </c>
      <c r="B1472">
        <v>1.00231</v>
      </c>
      <c r="D1472">
        <v>999.94245999999998</v>
      </c>
      <c r="E1472">
        <v>1.00213</v>
      </c>
    </row>
    <row r="1473" spans="1:5" x14ac:dyDescent="0.25">
      <c r="A1473">
        <v>997.90175999999997</v>
      </c>
      <c r="B1473">
        <v>1.0021599999999999</v>
      </c>
      <c r="D1473">
        <v>997.90175999999997</v>
      </c>
      <c r="E1473">
        <v>1.00183</v>
      </c>
    </row>
    <row r="1474" spans="1:5" x14ac:dyDescent="0.25">
      <c r="A1474">
        <v>995.86105999999995</v>
      </c>
      <c r="B1474">
        <v>1.00196</v>
      </c>
      <c r="D1474">
        <v>995.86105999999995</v>
      </c>
      <c r="E1474">
        <v>1.0015099999999999</v>
      </c>
    </row>
    <row r="1475" spans="1:5" x14ac:dyDescent="0.25">
      <c r="A1475">
        <v>993.82036000000005</v>
      </c>
      <c r="B1475">
        <v>1.0017100000000001</v>
      </c>
      <c r="D1475">
        <v>993.82036000000005</v>
      </c>
      <c r="E1475">
        <v>1.0013000000000001</v>
      </c>
    </row>
    <row r="1476" spans="1:5" x14ac:dyDescent="0.25">
      <c r="A1476">
        <v>991.77966000000004</v>
      </c>
      <c r="B1476">
        <v>1.0014400000000001</v>
      </c>
      <c r="D1476">
        <v>991.77966000000004</v>
      </c>
      <c r="E1476">
        <v>1.0011099999999999</v>
      </c>
    </row>
    <row r="1477" spans="1:5" x14ac:dyDescent="0.25">
      <c r="A1477">
        <v>989.73896000000002</v>
      </c>
      <c r="B1477">
        <v>1.0012099999999999</v>
      </c>
      <c r="D1477">
        <v>989.73896000000002</v>
      </c>
      <c r="E1477">
        <v>1.00095</v>
      </c>
    </row>
    <row r="1478" spans="1:5" x14ac:dyDescent="0.25">
      <c r="A1478">
        <v>987.69826</v>
      </c>
      <c r="B1478">
        <v>1.0009699999999999</v>
      </c>
      <c r="D1478">
        <v>987.69826</v>
      </c>
      <c r="E1478">
        <v>1.0009300000000001</v>
      </c>
    </row>
    <row r="1479" spans="1:5" x14ac:dyDescent="0.25">
      <c r="A1479">
        <v>985.65755999999999</v>
      </c>
      <c r="B1479">
        <v>1.0007699999999999</v>
      </c>
      <c r="D1479">
        <v>985.65755999999999</v>
      </c>
      <c r="E1479">
        <v>1.00101</v>
      </c>
    </row>
    <row r="1480" spans="1:5" x14ac:dyDescent="0.25">
      <c r="A1480">
        <v>983.61685999999997</v>
      </c>
      <c r="B1480">
        <v>1.0005900000000001</v>
      </c>
      <c r="D1480">
        <v>983.61685999999997</v>
      </c>
      <c r="E1480">
        <v>1.0009699999999999</v>
      </c>
    </row>
    <row r="1481" spans="1:5" x14ac:dyDescent="0.25">
      <c r="A1481">
        <v>981.57617000000005</v>
      </c>
      <c r="B1481">
        <v>1.0004299999999999</v>
      </c>
      <c r="D1481">
        <v>981.57617000000005</v>
      </c>
      <c r="E1481">
        <v>1.00085</v>
      </c>
    </row>
    <row r="1482" spans="1:5" x14ac:dyDescent="0.25">
      <c r="A1482">
        <v>979.53547000000003</v>
      </c>
      <c r="B1482">
        <v>1.00034</v>
      </c>
      <c r="D1482">
        <v>979.53547000000003</v>
      </c>
      <c r="E1482">
        <v>1.0007999999999999</v>
      </c>
    </row>
    <row r="1483" spans="1:5" x14ac:dyDescent="0.25">
      <c r="A1483">
        <v>977.49477000000002</v>
      </c>
      <c r="B1483">
        <v>1.0003500000000001</v>
      </c>
      <c r="D1483">
        <v>977.49477000000002</v>
      </c>
      <c r="E1483">
        <v>1.0005900000000001</v>
      </c>
    </row>
    <row r="1484" spans="1:5" x14ac:dyDescent="0.25">
      <c r="A1484">
        <v>975.45407</v>
      </c>
      <c r="B1484">
        <v>1.00048</v>
      </c>
      <c r="D1484">
        <v>975.45407</v>
      </c>
      <c r="E1484">
        <v>1.00023</v>
      </c>
    </row>
    <row r="1485" spans="1:5" x14ac:dyDescent="0.25">
      <c r="A1485">
        <v>973.41336999999999</v>
      </c>
      <c r="B1485">
        <v>1.0007299999999999</v>
      </c>
      <c r="D1485">
        <v>973.41336999999999</v>
      </c>
      <c r="E1485">
        <v>1</v>
      </c>
    </row>
    <row r="1486" spans="1:5" x14ac:dyDescent="0.25">
      <c r="A1486">
        <v>971.37266999999997</v>
      </c>
      <c r="B1486">
        <v>1.0011000000000001</v>
      </c>
      <c r="D1486">
        <v>971.37266999999997</v>
      </c>
      <c r="E1486">
        <v>1.0012000000000001</v>
      </c>
    </row>
    <row r="1487" spans="1:5" x14ac:dyDescent="0.25">
      <c r="A1487">
        <v>969.33196999999996</v>
      </c>
      <c r="B1487">
        <v>1.00156</v>
      </c>
      <c r="D1487">
        <v>969.33196999999996</v>
      </c>
      <c r="E1487">
        <v>1.00217</v>
      </c>
    </row>
    <row r="1488" spans="1:5" x14ac:dyDescent="0.25">
      <c r="A1488">
        <v>967.29127000000005</v>
      </c>
      <c r="B1488">
        <v>1.0020899999999999</v>
      </c>
      <c r="D1488">
        <v>967.29127000000005</v>
      </c>
      <c r="E1488">
        <v>1.0028699999999999</v>
      </c>
    </row>
    <row r="1489" spans="1:5" x14ac:dyDescent="0.25">
      <c r="A1489">
        <v>965.25057000000004</v>
      </c>
      <c r="B1489">
        <v>1.0026600000000001</v>
      </c>
      <c r="D1489">
        <v>965.25057000000004</v>
      </c>
      <c r="E1489">
        <v>1.0034099999999999</v>
      </c>
    </row>
    <row r="1490" spans="1:5" x14ac:dyDescent="0.25">
      <c r="A1490">
        <v>963.20988</v>
      </c>
      <c r="B1490">
        <v>1.0032300000000001</v>
      </c>
      <c r="D1490">
        <v>963.20988</v>
      </c>
      <c r="E1490">
        <v>1.00379</v>
      </c>
    </row>
    <row r="1491" spans="1:5" x14ac:dyDescent="0.25">
      <c r="A1491">
        <v>961.16917999999998</v>
      </c>
      <c r="B1491">
        <v>1.0038</v>
      </c>
      <c r="D1491">
        <v>961.16917999999998</v>
      </c>
      <c r="E1491">
        <v>1.0040800000000001</v>
      </c>
    </row>
    <row r="1492" spans="1:5" x14ac:dyDescent="0.25">
      <c r="A1492">
        <v>959.12847999999997</v>
      </c>
      <c r="B1492">
        <v>1.00437</v>
      </c>
      <c r="D1492">
        <v>959.12847999999997</v>
      </c>
      <c r="E1492">
        <v>1.00441</v>
      </c>
    </row>
    <row r="1493" spans="1:5" x14ac:dyDescent="0.25">
      <c r="A1493">
        <v>957.08777999999995</v>
      </c>
      <c r="B1493">
        <v>1.00488</v>
      </c>
      <c r="D1493">
        <v>957.08777999999995</v>
      </c>
      <c r="E1493">
        <v>1.00471</v>
      </c>
    </row>
    <row r="1494" spans="1:5" x14ac:dyDescent="0.25">
      <c r="A1494">
        <v>955.04708000000005</v>
      </c>
      <c r="B1494">
        <v>1.0052399999999999</v>
      </c>
      <c r="D1494">
        <v>955.04708000000005</v>
      </c>
      <c r="E1494">
        <v>1.00501</v>
      </c>
    </row>
    <row r="1495" spans="1:5" x14ac:dyDescent="0.25">
      <c r="A1495">
        <v>953.00638000000004</v>
      </c>
      <c r="B1495">
        <v>1.0055099999999999</v>
      </c>
      <c r="D1495">
        <v>953.00638000000004</v>
      </c>
      <c r="E1495">
        <v>1.0054099999999999</v>
      </c>
    </row>
    <row r="1496" spans="1:5" x14ac:dyDescent="0.25">
      <c r="A1496">
        <v>950.96568000000002</v>
      </c>
      <c r="B1496">
        <v>1.0057</v>
      </c>
      <c r="D1496">
        <v>950.96568000000002</v>
      </c>
      <c r="E1496">
        <v>1.00566</v>
      </c>
    </row>
    <row r="1497" spans="1:5" x14ac:dyDescent="0.25">
      <c r="A1497">
        <v>948.92498000000001</v>
      </c>
      <c r="B1497">
        <v>1.00583</v>
      </c>
      <c r="D1497">
        <v>948.92498000000001</v>
      </c>
      <c r="E1497">
        <v>1.0055799999999999</v>
      </c>
    </row>
    <row r="1498" spans="1:5" x14ac:dyDescent="0.25">
      <c r="A1498">
        <v>946.88427999999999</v>
      </c>
      <c r="B1498">
        <v>1.0059100000000001</v>
      </c>
      <c r="D1498">
        <v>946.88427999999999</v>
      </c>
      <c r="E1498">
        <v>1.0054000000000001</v>
      </c>
    </row>
    <row r="1499" spans="1:5" x14ac:dyDescent="0.25">
      <c r="A1499">
        <v>944.84358999999995</v>
      </c>
      <c r="B1499">
        <v>1.00593</v>
      </c>
      <c r="D1499">
        <v>944.84358999999995</v>
      </c>
      <c r="E1499">
        <v>1.00522</v>
      </c>
    </row>
    <row r="1500" spans="1:5" x14ac:dyDescent="0.25">
      <c r="A1500">
        <v>942.80289000000005</v>
      </c>
      <c r="B1500">
        <v>1.0058499999999999</v>
      </c>
      <c r="D1500">
        <v>942.80289000000005</v>
      </c>
      <c r="E1500">
        <v>1.00509</v>
      </c>
    </row>
    <row r="1501" spans="1:5" x14ac:dyDescent="0.25">
      <c r="A1501">
        <v>940.76219000000003</v>
      </c>
      <c r="B1501">
        <v>1.00566</v>
      </c>
      <c r="D1501">
        <v>940.76219000000003</v>
      </c>
      <c r="E1501">
        <v>1.00501</v>
      </c>
    </row>
    <row r="1502" spans="1:5" x14ac:dyDescent="0.25">
      <c r="A1502">
        <v>938.72149000000002</v>
      </c>
      <c r="B1502">
        <v>1.00542</v>
      </c>
      <c r="D1502">
        <v>938.72149000000002</v>
      </c>
      <c r="E1502">
        <v>1.00478</v>
      </c>
    </row>
    <row r="1503" spans="1:5" x14ac:dyDescent="0.25">
      <c r="A1503">
        <v>936.68079</v>
      </c>
      <c r="B1503">
        <v>1.0051300000000001</v>
      </c>
      <c r="D1503">
        <v>936.68079</v>
      </c>
      <c r="E1503">
        <v>1.00451</v>
      </c>
    </row>
    <row r="1504" spans="1:5" x14ac:dyDescent="0.25">
      <c r="A1504">
        <v>934.64008999999999</v>
      </c>
      <c r="B1504">
        <v>1.0046200000000001</v>
      </c>
      <c r="D1504">
        <v>934.64008999999999</v>
      </c>
      <c r="E1504">
        <v>1.00427</v>
      </c>
    </row>
    <row r="1505" spans="1:5" x14ac:dyDescent="0.25">
      <c r="A1505">
        <v>932.59938999999997</v>
      </c>
      <c r="B1505">
        <v>1.0039800000000001</v>
      </c>
      <c r="D1505">
        <v>932.59938999999997</v>
      </c>
      <c r="E1505">
        <v>1.0036799999999999</v>
      </c>
    </row>
    <row r="1506" spans="1:5" x14ac:dyDescent="0.25">
      <c r="A1506">
        <v>930.55868999999996</v>
      </c>
      <c r="B1506">
        <v>1.0032799999999999</v>
      </c>
      <c r="D1506">
        <v>930.55868999999996</v>
      </c>
      <c r="E1506">
        <v>1.0027999999999999</v>
      </c>
    </row>
    <row r="1507" spans="1:5" x14ac:dyDescent="0.25">
      <c r="A1507">
        <v>928.51799000000005</v>
      </c>
      <c r="B1507">
        <v>1.0026200000000001</v>
      </c>
      <c r="D1507">
        <v>928.51799000000005</v>
      </c>
      <c r="E1507">
        <v>1.0019899999999999</v>
      </c>
    </row>
    <row r="1508" spans="1:5" x14ac:dyDescent="0.25">
      <c r="A1508">
        <v>926.47730000000001</v>
      </c>
      <c r="B1508">
        <v>1.00207</v>
      </c>
      <c r="D1508">
        <v>926.47730000000001</v>
      </c>
      <c r="E1508">
        <v>1.00149</v>
      </c>
    </row>
    <row r="1509" spans="1:5" x14ac:dyDescent="0.25">
      <c r="A1509">
        <v>924.4366</v>
      </c>
      <c r="B1509">
        <v>1.0016700000000001</v>
      </c>
      <c r="D1509">
        <v>924.4366</v>
      </c>
      <c r="E1509">
        <v>1.0011699999999999</v>
      </c>
    </row>
    <row r="1510" spans="1:5" x14ac:dyDescent="0.25">
      <c r="A1510">
        <v>922.39589999999998</v>
      </c>
      <c r="B1510">
        <v>1.00145</v>
      </c>
      <c r="D1510">
        <v>922.39589999999998</v>
      </c>
      <c r="E1510">
        <v>1.00074</v>
      </c>
    </row>
    <row r="1511" spans="1:5" x14ac:dyDescent="0.25">
      <c r="A1511">
        <v>920.35519999999997</v>
      </c>
      <c r="B1511">
        <v>1.00145</v>
      </c>
      <c r="D1511">
        <v>920.35519999999997</v>
      </c>
      <c r="E1511">
        <v>1</v>
      </c>
    </row>
    <row r="1512" spans="1:5" x14ac:dyDescent="0.25">
      <c r="A1512">
        <v>918.31449999999995</v>
      </c>
      <c r="B1512">
        <v>1.0017100000000001</v>
      </c>
      <c r="D1512">
        <v>918.31449999999995</v>
      </c>
      <c r="E1512">
        <v>1.00099</v>
      </c>
    </row>
    <row r="1513" spans="1:5" x14ac:dyDescent="0.25">
      <c r="A1513">
        <v>916.27380000000005</v>
      </c>
      <c r="B1513">
        <v>1.00221</v>
      </c>
      <c r="D1513">
        <v>916.27380000000005</v>
      </c>
      <c r="E1513">
        <v>1.00166</v>
      </c>
    </row>
    <row r="1514" spans="1:5" x14ac:dyDescent="0.25">
      <c r="A1514">
        <v>914.23310000000004</v>
      </c>
      <c r="B1514">
        <v>1.0028699999999999</v>
      </c>
      <c r="D1514">
        <v>914.23310000000004</v>
      </c>
      <c r="E1514">
        <v>1.0025299999999999</v>
      </c>
    </row>
    <row r="1515" spans="1:5" x14ac:dyDescent="0.25">
      <c r="A1515">
        <v>912.19240000000002</v>
      </c>
      <c r="B1515">
        <v>1.00366</v>
      </c>
      <c r="D1515">
        <v>912.19240000000002</v>
      </c>
      <c r="E1515">
        <v>1.00356</v>
      </c>
    </row>
    <row r="1516" spans="1:5" x14ac:dyDescent="0.25">
      <c r="A1516">
        <v>910.15170000000001</v>
      </c>
      <c r="B1516">
        <v>1.0045299999999999</v>
      </c>
      <c r="D1516">
        <v>910.15170000000001</v>
      </c>
      <c r="E1516">
        <v>1.0044299999999999</v>
      </c>
    </row>
    <row r="1517" spans="1:5" x14ac:dyDescent="0.25">
      <c r="A1517">
        <v>908.11100999999996</v>
      </c>
      <c r="B1517">
        <v>1.00543</v>
      </c>
      <c r="D1517">
        <v>908.11100999999996</v>
      </c>
      <c r="E1517">
        <v>1.0050600000000001</v>
      </c>
    </row>
    <row r="1518" spans="1:5" x14ac:dyDescent="0.25">
      <c r="A1518">
        <v>906.07030999999995</v>
      </c>
      <c r="B1518">
        <v>1.0063</v>
      </c>
      <c r="D1518">
        <v>906.07030999999995</v>
      </c>
      <c r="E1518">
        <v>1.00563</v>
      </c>
    </row>
    <row r="1519" spans="1:5" x14ac:dyDescent="0.25">
      <c r="A1519">
        <v>904.02961000000005</v>
      </c>
      <c r="B1519">
        <v>1.00705</v>
      </c>
      <c r="D1519">
        <v>904.02961000000005</v>
      </c>
      <c r="E1519">
        <v>1.00627</v>
      </c>
    </row>
    <row r="1520" spans="1:5" x14ac:dyDescent="0.25">
      <c r="A1520">
        <v>901.98891000000003</v>
      </c>
      <c r="B1520">
        <v>1.0075499999999999</v>
      </c>
      <c r="D1520">
        <v>901.98891000000003</v>
      </c>
      <c r="E1520">
        <v>1.00648</v>
      </c>
    </row>
    <row r="1521" spans="1:5" x14ac:dyDescent="0.25">
      <c r="A1521">
        <v>899.94821000000002</v>
      </c>
      <c r="B1521">
        <v>1.0079499999999999</v>
      </c>
      <c r="D1521">
        <v>899.94821000000002</v>
      </c>
      <c r="E1521">
        <v>1.0063500000000001</v>
      </c>
    </row>
    <row r="1522" spans="1:5" x14ac:dyDescent="0.25">
      <c r="A1522">
        <v>897.90751</v>
      </c>
      <c r="B1522">
        <v>1.0082</v>
      </c>
      <c r="D1522">
        <v>897.90751</v>
      </c>
      <c r="E1522">
        <v>1.0066600000000001</v>
      </c>
    </row>
    <row r="1523" spans="1:5" x14ac:dyDescent="0.25">
      <c r="A1523">
        <v>895.86680999999999</v>
      </c>
      <c r="B1523">
        <v>1.00824</v>
      </c>
      <c r="D1523">
        <v>895.86680999999999</v>
      </c>
      <c r="E1523">
        <v>1.0069300000000001</v>
      </c>
    </row>
    <row r="1524" spans="1:5" x14ac:dyDescent="0.25">
      <c r="A1524">
        <v>893.82610999999997</v>
      </c>
      <c r="B1524">
        <v>1.0080199999999999</v>
      </c>
      <c r="D1524">
        <v>893.82610999999997</v>
      </c>
      <c r="E1524">
        <v>1.00701</v>
      </c>
    </row>
    <row r="1525" spans="1:5" x14ac:dyDescent="0.25">
      <c r="A1525">
        <v>891.78540999999996</v>
      </c>
      <c r="B1525">
        <v>1.0075400000000001</v>
      </c>
      <c r="D1525">
        <v>891.78540999999996</v>
      </c>
      <c r="E1525">
        <v>1.00746</v>
      </c>
    </row>
    <row r="1526" spans="1:5" x14ac:dyDescent="0.25">
      <c r="A1526">
        <v>889.74472000000003</v>
      </c>
      <c r="B1526">
        <v>1.0068600000000001</v>
      </c>
      <c r="D1526">
        <v>889.74472000000003</v>
      </c>
      <c r="E1526">
        <v>1.0076400000000001</v>
      </c>
    </row>
    <row r="1527" spans="1:5" x14ac:dyDescent="0.25">
      <c r="A1527">
        <v>887.70402000000001</v>
      </c>
      <c r="B1527">
        <v>1.00607</v>
      </c>
      <c r="D1527">
        <v>887.70402000000001</v>
      </c>
      <c r="E1527">
        <v>1.0073399999999999</v>
      </c>
    </row>
    <row r="1528" spans="1:5" x14ac:dyDescent="0.25">
      <c r="A1528">
        <v>885.66332</v>
      </c>
      <c r="B1528">
        <v>1.00526</v>
      </c>
      <c r="D1528">
        <v>885.66332</v>
      </c>
      <c r="E1528">
        <v>1.0069399999999999</v>
      </c>
    </row>
    <row r="1529" spans="1:5" x14ac:dyDescent="0.25">
      <c r="A1529">
        <v>883.62261999999998</v>
      </c>
      <c r="B1529">
        <v>1.0044900000000001</v>
      </c>
      <c r="D1529">
        <v>883.62261999999998</v>
      </c>
      <c r="E1529">
        <v>1.0063299999999999</v>
      </c>
    </row>
    <row r="1530" spans="1:5" x14ac:dyDescent="0.25">
      <c r="A1530">
        <v>881.58191999999997</v>
      </c>
      <c r="B1530">
        <v>1.00363</v>
      </c>
      <c r="D1530">
        <v>881.58191999999997</v>
      </c>
      <c r="E1530">
        <v>1.00559</v>
      </c>
    </row>
    <row r="1531" spans="1:5" x14ac:dyDescent="0.25">
      <c r="A1531">
        <v>879.54121999999995</v>
      </c>
      <c r="B1531">
        <v>1.0027699999999999</v>
      </c>
      <c r="D1531">
        <v>879.54121999999995</v>
      </c>
      <c r="E1531">
        <v>1.0050699999999999</v>
      </c>
    </row>
    <row r="1532" spans="1:5" x14ac:dyDescent="0.25">
      <c r="A1532">
        <v>877.50052000000005</v>
      </c>
      <c r="B1532">
        <v>1.00197</v>
      </c>
      <c r="D1532">
        <v>877.50052000000005</v>
      </c>
      <c r="E1532">
        <v>1.00498</v>
      </c>
    </row>
    <row r="1533" spans="1:5" x14ac:dyDescent="0.25">
      <c r="A1533">
        <v>875.45982000000004</v>
      </c>
      <c r="B1533">
        <v>1.0013099999999999</v>
      </c>
      <c r="D1533">
        <v>875.45982000000004</v>
      </c>
      <c r="E1533">
        <v>1.00482</v>
      </c>
    </row>
    <row r="1534" spans="1:5" x14ac:dyDescent="0.25">
      <c r="A1534">
        <v>873.41912000000002</v>
      </c>
      <c r="B1534">
        <v>1.0008699999999999</v>
      </c>
      <c r="D1534">
        <v>873.41912000000002</v>
      </c>
      <c r="E1534">
        <v>1.0037199999999999</v>
      </c>
    </row>
    <row r="1535" spans="1:5" x14ac:dyDescent="0.25">
      <c r="A1535">
        <v>871.37842999999998</v>
      </c>
      <c r="B1535">
        <v>1.0006999999999999</v>
      </c>
      <c r="D1535">
        <v>871.37842999999998</v>
      </c>
      <c r="E1535">
        <v>1.0022200000000001</v>
      </c>
    </row>
    <row r="1536" spans="1:5" x14ac:dyDescent="0.25">
      <c r="A1536">
        <v>869.33772999999997</v>
      </c>
      <c r="B1536">
        <v>1.00081</v>
      </c>
      <c r="D1536">
        <v>869.33772999999997</v>
      </c>
      <c r="E1536">
        <v>1.00112</v>
      </c>
    </row>
    <row r="1537" spans="1:5" x14ac:dyDescent="0.25">
      <c r="A1537">
        <v>867.29702999999995</v>
      </c>
      <c r="B1537">
        <v>1.0011300000000001</v>
      </c>
      <c r="D1537">
        <v>867.29702999999995</v>
      </c>
      <c r="E1537">
        <v>1</v>
      </c>
    </row>
    <row r="1538" spans="1:5" x14ac:dyDescent="0.25">
      <c r="A1538">
        <v>865.25633000000005</v>
      </c>
      <c r="B1538">
        <v>1.00149</v>
      </c>
      <c r="D1538">
        <v>865.25633000000005</v>
      </c>
      <c r="E1538">
        <v>1.00031</v>
      </c>
    </row>
    <row r="1539" spans="1:5" x14ac:dyDescent="0.25">
      <c r="A1539">
        <v>863.21563000000003</v>
      </c>
      <c r="B1539">
        <v>1.00183</v>
      </c>
      <c r="D1539">
        <v>863.21563000000003</v>
      </c>
      <c r="E1539">
        <v>1.00074</v>
      </c>
    </row>
    <row r="1540" spans="1:5" x14ac:dyDescent="0.25">
      <c r="A1540">
        <v>861.17493000000002</v>
      </c>
      <c r="B1540">
        <v>1.00221</v>
      </c>
      <c r="D1540">
        <v>861.17493000000002</v>
      </c>
      <c r="E1540">
        <v>1.00143</v>
      </c>
    </row>
    <row r="1541" spans="1:5" x14ac:dyDescent="0.25">
      <c r="A1541">
        <v>859.13423</v>
      </c>
      <c r="B1541">
        <v>1.0025999999999999</v>
      </c>
      <c r="D1541">
        <v>859.13423</v>
      </c>
      <c r="E1541">
        <v>1.0023500000000001</v>
      </c>
    </row>
    <row r="1542" spans="1:5" x14ac:dyDescent="0.25">
      <c r="A1542">
        <v>857.09352999999999</v>
      </c>
      <c r="B1542">
        <v>1.0029999999999999</v>
      </c>
      <c r="D1542">
        <v>857.09352999999999</v>
      </c>
      <c r="E1542">
        <v>1.00308</v>
      </c>
    </row>
    <row r="1543" spans="1:5" x14ac:dyDescent="0.25">
      <c r="A1543">
        <v>855.05282999999997</v>
      </c>
      <c r="B1543">
        <v>1.0034000000000001</v>
      </c>
      <c r="D1543">
        <v>855.05282999999997</v>
      </c>
      <c r="E1543">
        <v>1.0031699999999999</v>
      </c>
    </row>
    <row r="1544" spans="1:5" x14ac:dyDescent="0.25">
      <c r="A1544">
        <v>853.01214000000004</v>
      </c>
      <c r="B1544">
        <v>1.00373</v>
      </c>
      <c r="D1544">
        <v>853.01214000000004</v>
      </c>
      <c r="E1544">
        <v>1.0032300000000001</v>
      </c>
    </row>
    <row r="1545" spans="1:5" x14ac:dyDescent="0.25">
      <c r="A1545">
        <v>850.97144000000003</v>
      </c>
      <c r="B1545">
        <v>1.0039400000000001</v>
      </c>
      <c r="D1545">
        <v>850.97144000000003</v>
      </c>
      <c r="E1545">
        <v>1.00362</v>
      </c>
    </row>
    <row r="1546" spans="1:5" x14ac:dyDescent="0.25">
      <c r="A1546">
        <v>848.93074000000001</v>
      </c>
      <c r="B1546">
        <v>1.0039800000000001</v>
      </c>
      <c r="D1546">
        <v>848.93074000000001</v>
      </c>
      <c r="E1546">
        <v>1.0039899999999999</v>
      </c>
    </row>
    <row r="1547" spans="1:5" x14ac:dyDescent="0.25">
      <c r="A1547">
        <v>846.89004</v>
      </c>
      <c r="B1547">
        <v>1.0039899999999999</v>
      </c>
      <c r="D1547">
        <v>846.89004</v>
      </c>
      <c r="E1547">
        <v>1.0041500000000001</v>
      </c>
    </row>
    <row r="1548" spans="1:5" x14ac:dyDescent="0.25">
      <c r="A1548">
        <v>844.84933999999998</v>
      </c>
      <c r="B1548">
        <v>1.0040100000000001</v>
      </c>
      <c r="D1548">
        <v>844.84933999999998</v>
      </c>
      <c r="E1548">
        <v>1.00393</v>
      </c>
    </row>
    <row r="1549" spans="1:5" x14ac:dyDescent="0.25">
      <c r="A1549">
        <v>842.80863999999997</v>
      </c>
      <c r="B1549">
        <v>1.00403</v>
      </c>
      <c r="D1549">
        <v>842.80863999999997</v>
      </c>
      <c r="E1549">
        <v>1.00369</v>
      </c>
    </row>
    <row r="1550" spans="1:5" x14ac:dyDescent="0.25">
      <c r="A1550">
        <v>840.76793999999995</v>
      </c>
      <c r="B1550">
        <v>1.00406</v>
      </c>
      <c r="D1550">
        <v>840.76793999999995</v>
      </c>
      <c r="E1550">
        <v>1.00352</v>
      </c>
    </row>
    <row r="1551" spans="1:5" x14ac:dyDescent="0.25">
      <c r="A1551">
        <v>838.72724000000005</v>
      </c>
      <c r="B1551">
        <v>1.0040899999999999</v>
      </c>
      <c r="D1551">
        <v>838.72724000000005</v>
      </c>
      <c r="E1551">
        <v>1.00329</v>
      </c>
    </row>
    <row r="1552" spans="1:5" x14ac:dyDescent="0.25">
      <c r="A1552">
        <v>836.68654000000004</v>
      </c>
      <c r="B1552">
        <v>1.00407</v>
      </c>
      <c r="D1552">
        <v>836.68654000000004</v>
      </c>
      <c r="E1552">
        <v>1.0032700000000001</v>
      </c>
    </row>
    <row r="1553" spans="1:5" x14ac:dyDescent="0.25">
      <c r="A1553">
        <v>834.64585</v>
      </c>
      <c r="B1553">
        <v>1.0039800000000001</v>
      </c>
      <c r="D1553">
        <v>834.64585</v>
      </c>
      <c r="E1553">
        <v>1.0033700000000001</v>
      </c>
    </row>
    <row r="1554" spans="1:5" x14ac:dyDescent="0.25">
      <c r="A1554">
        <v>832.60514999999998</v>
      </c>
      <c r="B1554">
        <v>1.0038800000000001</v>
      </c>
      <c r="D1554">
        <v>832.60514999999998</v>
      </c>
      <c r="E1554">
        <v>1.0033300000000001</v>
      </c>
    </row>
    <row r="1555" spans="1:5" x14ac:dyDescent="0.25">
      <c r="A1555">
        <v>830.56444999999997</v>
      </c>
      <c r="B1555">
        <v>1.00386</v>
      </c>
      <c r="D1555">
        <v>830.56444999999997</v>
      </c>
      <c r="E1555">
        <v>1.0032099999999999</v>
      </c>
    </row>
    <row r="1556" spans="1:5" x14ac:dyDescent="0.25">
      <c r="A1556">
        <v>828.52374999999995</v>
      </c>
      <c r="B1556">
        <v>1.0037799999999999</v>
      </c>
      <c r="D1556">
        <v>828.52374999999995</v>
      </c>
      <c r="E1556">
        <v>1.00326</v>
      </c>
    </row>
    <row r="1557" spans="1:5" x14ac:dyDescent="0.25">
      <c r="A1557">
        <v>826.48305000000005</v>
      </c>
      <c r="B1557">
        <v>1.00356</v>
      </c>
      <c r="D1557">
        <v>826.48305000000005</v>
      </c>
      <c r="E1557">
        <v>1.00345</v>
      </c>
    </row>
    <row r="1558" spans="1:5" x14ac:dyDescent="0.25">
      <c r="A1558">
        <v>824.44235000000003</v>
      </c>
      <c r="B1558">
        <v>1.0032000000000001</v>
      </c>
      <c r="D1558">
        <v>824.44235000000003</v>
      </c>
      <c r="E1558">
        <v>1.0035400000000001</v>
      </c>
    </row>
    <row r="1559" spans="1:5" x14ac:dyDescent="0.25">
      <c r="A1559">
        <v>822.40165000000002</v>
      </c>
      <c r="B1559">
        <v>1.00274</v>
      </c>
      <c r="D1559">
        <v>822.40165000000002</v>
      </c>
      <c r="E1559">
        <v>1.0034700000000001</v>
      </c>
    </row>
    <row r="1560" spans="1:5" x14ac:dyDescent="0.25">
      <c r="A1560">
        <v>820.36095</v>
      </c>
      <c r="B1560">
        <v>1.0022500000000001</v>
      </c>
      <c r="D1560">
        <v>820.36095</v>
      </c>
      <c r="E1560">
        <v>1.00292</v>
      </c>
    </row>
    <row r="1561" spans="1:5" x14ac:dyDescent="0.25">
      <c r="A1561">
        <v>818.32024999999999</v>
      </c>
      <c r="B1561">
        <v>1.0017499999999999</v>
      </c>
      <c r="D1561">
        <v>818.32024999999999</v>
      </c>
      <c r="E1561">
        <v>1.0017</v>
      </c>
    </row>
    <row r="1562" spans="1:5" x14ac:dyDescent="0.25">
      <c r="A1562">
        <v>816.27955999999995</v>
      </c>
      <c r="B1562">
        <v>1.00129</v>
      </c>
      <c r="D1562">
        <v>816.27955999999995</v>
      </c>
      <c r="E1562">
        <v>1.00064</v>
      </c>
    </row>
    <row r="1563" spans="1:5" x14ac:dyDescent="0.25">
      <c r="A1563">
        <v>814.23886000000005</v>
      </c>
      <c r="B1563">
        <v>1.0008999999999999</v>
      </c>
      <c r="D1563">
        <v>814.23886000000005</v>
      </c>
      <c r="E1563">
        <v>1</v>
      </c>
    </row>
    <row r="1564" spans="1:5" x14ac:dyDescent="0.25">
      <c r="A1564">
        <v>812.19816000000003</v>
      </c>
      <c r="B1564">
        <v>1.00058</v>
      </c>
      <c r="D1564">
        <v>812.19816000000003</v>
      </c>
      <c r="E1564">
        <v>0.99983999999999995</v>
      </c>
    </row>
    <row r="1565" spans="1:5" x14ac:dyDescent="0.25">
      <c r="A1565">
        <v>810.15746000000001</v>
      </c>
      <c r="B1565">
        <v>1.0003299999999999</v>
      </c>
      <c r="D1565">
        <v>810.15746000000001</v>
      </c>
      <c r="E1565">
        <v>0.99951999999999996</v>
      </c>
    </row>
    <row r="1566" spans="1:5" x14ac:dyDescent="0.25">
      <c r="A1566">
        <v>808.11676</v>
      </c>
      <c r="B1566">
        <v>1.0001800000000001</v>
      </c>
      <c r="D1566">
        <v>808.11676</v>
      </c>
      <c r="E1566">
        <v>0.99978999999999996</v>
      </c>
    </row>
    <row r="1567" spans="1:5" x14ac:dyDescent="0.25">
      <c r="A1567">
        <v>806.07605999999998</v>
      </c>
      <c r="B1567">
        <v>1.0001500000000001</v>
      </c>
      <c r="D1567">
        <v>806.07605999999998</v>
      </c>
      <c r="E1567">
        <v>1.00017</v>
      </c>
    </row>
    <row r="1568" spans="1:5" x14ac:dyDescent="0.25">
      <c r="A1568">
        <v>804.03535999999997</v>
      </c>
      <c r="B1568">
        <v>1.00021</v>
      </c>
      <c r="D1568">
        <v>804.03535999999997</v>
      </c>
      <c r="E1568">
        <v>1.00037</v>
      </c>
    </row>
    <row r="1569" spans="1:5" x14ac:dyDescent="0.25">
      <c r="A1569">
        <v>801.99465999999995</v>
      </c>
      <c r="B1569">
        <v>1.0004299999999999</v>
      </c>
      <c r="D1569">
        <v>801.99465999999995</v>
      </c>
      <c r="E1569">
        <v>1.0006600000000001</v>
      </c>
    </row>
    <row r="1570" spans="1:5" x14ac:dyDescent="0.25">
      <c r="A1570">
        <v>799.95396000000005</v>
      </c>
      <c r="B1570">
        <v>1.00085</v>
      </c>
      <c r="D1570">
        <v>799.95396000000005</v>
      </c>
      <c r="E1570">
        <v>1.00101</v>
      </c>
    </row>
    <row r="1571" spans="1:5" x14ac:dyDescent="0.25">
      <c r="A1571">
        <v>797.91327000000001</v>
      </c>
      <c r="B1571">
        <v>1.0013000000000001</v>
      </c>
      <c r="D1571">
        <v>797.91327000000001</v>
      </c>
      <c r="E1571">
        <v>1.0013799999999999</v>
      </c>
    </row>
    <row r="1572" spans="1:5" x14ac:dyDescent="0.25">
      <c r="A1572">
        <v>795.87257</v>
      </c>
      <c r="B1572">
        <v>1.0016400000000001</v>
      </c>
      <c r="D1572">
        <v>795.87257</v>
      </c>
      <c r="E1572">
        <v>1.00177</v>
      </c>
    </row>
    <row r="1573" spans="1:5" x14ac:dyDescent="0.25">
      <c r="A1573">
        <v>793.83186999999998</v>
      </c>
      <c r="B1573">
        <v>1.00197</v>
      </c>
      <c r="D1573">
        <v>793.83186999999998</v>
      </c>
      <c r="E1573">
        <v>1.00193</v>
      </c>
    </row>
    <row r="1574" spans="1:5" x14ac:dyDescent="0.25">
      <c r="A1574">
        <v>791.79116999999997</v>
      </c>
      <c r="B1574">
        <v>1.00231</v>
      </c>
      <c r="D1574">
        <v>791.79116999999997</v>
      </c>
      <c r="E1574">
        <v>1.00193</v>
      </c>
    </row>
    <row r="1575" spans="1:5" x14ac:dyDescent="0.25">
      <c r="A1575">
        <v>789.75046999999995</v>
      </c>
      <c r="B1575">
        <v>1.0025200000000001</v>
      </c>
      <c r="D1575">
        <v>789.75046999999995</v>
      </c>
      <c r="E1575">
        <v>1.002</v>
      </c>
    </row>
    <row r="1576" spans="1:5" x14ac:dyDescent="0.25">
      <c r="A1576">
        <v>787.70977000000005</v>
      </c>
      <c r="B1576">
        <v>1.0025299999999999</v>
      </c>
      <c r="D1576">
        <v>787.70977000000005</v>
      </c>
      <c r="E1576">
        <v>1.00183</v>
      </c>
    </row>
    <row r="1577" spans="1:5" x14ac:dyDescent="0.25">
      <c r="A1577">
        <v>785.66907000000003</v>
      </c>
      <c r="B1577">
        <v>1.0024</v>
      </c>
      <c r="D1577">
        <v>785.66907000000003</v>
      </c>
      <c r="E1577">
        <v>1.0016499999999999</v>
      </c>
    </row>
    <row r="1578" spans="1:5" x14ac:dyDescent="0.25">
      <c r="A1578">
        <v>783.62837000000002</v>
      </c>
      <c r="B1578">
        <v>1.0022</v>
      </c>
      <c r="D1578">
        <v>783.62837000000002</v>
      </c>
      <c r="E1578">
        <v>1.0022</v>
      </c>
    </row>
    <row r="1579" spans="1:5" x14ac:dyDescent="0.25">
      <c r="A1579">
        <v>781.58767</v>
      </c>
      <c r="B1579">
        <v>1.00204</v>
      </c>
      <c r="D1579">
        <v>781.58767</v>
      </c>
      <c r="E1579">
        <v>1.0031399999999999</v>
      </c>
    </row>
    <row r="1580" spans="1:5" x14ac:dyDescent="0.25">
      <c r="A1580">
        <v>779.54697999999996</v>
      </c>
      <c r="B1580">
        <v>1.0019400000000001</v>
      </c>
      <c r="D1580">
        <v>779.54697999999996</v>
      </c>
      <c r="E1580">
        <v>1.00318</v>
      </c>
    </row>
    <row r="1581" spans="1:5" x14ac:dyDescent="0.25">
      <c r="A1581">
        <v>777.50627999999995</v>
      </c>
      <c r="B1581">
        <v>1.0018</v>
      </c>
      <c r="D1581">
        <v>777.50627999999995</v>
      </c>
      <c r="E1581">
        <v>1.00227</v>
      </c>
    </row>
    <row r="1582" spans="1:5" x14ac:dyDescent="0.25">
      <c r="A1582">
        <v>775.46558000000005</v>
      </c>
      <c r="B1582">
        <v>1.0015000000000001</v>
      </c>
      <c r="D1582">
        <v>775.46558000000005</v>
      </c>
      <c r="E1582">
        <v>1.00166</v>
      </c>
    </row>
    <row r="1583" spans="1:5" x14ac:dyDescent="0.25">
      <c r="A1583">
        <v>773.42488000000003</v>
      </c>
      <c r="B1583">
        <v>1.00118</v>
      </c>
      <c r="D1583">
        <v>773.42488000000003</v>
      </c>
      <c r="E1583">
        <v>1.0017799999999999</v>
      </c>
    </row>
    <row r="1584" spans="1:5" x14ac:dyDescent="0.25">
      <c r="A1584">
        <v>771.38418000000001</v>
      </c>
      <c r="B1584">
        <v>1.00099</v>
      </c>
      <c r="D1584">
        <v>771.38418000000001</v>
      </c>
      <c r="E1584">
        <v>1.00173</v>
      </c>
    </row>
    <row r="1585" spans="1:5" x14ac:dyDescent="0.25">
      <c r="A1585">
        <v>769.34348</v>
      </c>
      <c r="B1585">
        <v>1.0009699999999999</v>
      </c>
      <c r="D1585">
        <v>769.34348</v>
      </c>
      <c r="E1585">
        <v>1.0011699999999999</v>
      </c>
    </row>
    <row r="1586" spans="1:5" x14ac:dyDescent="0.25">
      <c r="A1586">
        <v>767.30277999999998</v>
      </c>
      <c r="B1586">
        <v>1.0010600000000001</v>
      </c>
      <c r="D1586">
        <v>767.30277999999998</v>
      </c>
      <c r="E1586">
        <v>1.00081</v>
      </c>
    </row>
    <row r="1587" spans="1:5" x14ac:dyDescent="0.25">
      <c r="A1587">
        <v>765.26207999999997</v>
      </c>
      <c r="B1587">
        <v>1.00116</v>
      </c>
      <c r="D1587">
        <v>765.26207999999997</v>
      </c>
      <c r="E1587">
        <v>1.0007200000000001</v>
      </c>
    </row>
    <row r="1588" spans="1:5" x14ac:dyDescent="0.25">
      <c r="A1588">
        <v>763.22137999999995</v>
      </c>
      <c r="B1588">
        <v>1.0013300000000001</v>
      </c>
      <c r="D1588">
        <v>763.22137999999995</v>
      </c>
      <c r="E1588">
        <v>1.00034</v>
      </c>
    </row>
    <row r="1589" spans="1:5" x14ac:dyDescent="0.25">
      <c r="A1589">
        <v>761.18069000000003</v>
      </c>
      <c r="B1589">
        <v>1.00159</v>
      </c>
      <c r="D1589">
        <v>761.18069000000003</v>
      </c>
      <c r="E1589">
        <v>1</v>
      </c>
    </row>
    <row r="1590" spans="1:5" x14ac:dyDescent="0.25">
      <c r="A1590">
        <v>759.13999000000001</v>
      </c>
      <c r="B1590">
        <v>1.0017400000000001</v>
      </c>
      <c r="D1590">
        <v>759.13999000000001</v>
      </c>
      <c r="E1590">
        <v>1.0004900000000001</v>
      </c>
    </row>
    <row r="1591" spans="1:5" x14ac:dyDescent="0.25">
      <c r="A1591">
        <v>757.09929</v>
      </c>
      <c r="B1591">
        <v>1.0017</v>
      </c>
      <c r="D1591">
        <v>757.09929</v>
      </c>
      <c r="E1591">
        <v>1.00092</v>
      </c>
    </row>
    <row r="1592" spans="1:5" x14ac:dyDescent="0.25">
      <c r="A1592">
        <v>755.05858999999998</v>
      </c>
      <c r="B1592">
        <v>1.00153</v>
      </c>
      <c r="D1592">
        <v>755.05858999999998</v>
      </c>
      <c r="E1592">
        <v>1.0012399999999999</v>
      </c>
    </row>
    <row r="1593" spans="1:5" x14ac:dyDescent="0.25">
      <c r="A1593">
        <v>753.01788999999997</v>
      </c>
      <c r="B1593">
        <v>1.0013300000000001</v>
      </c>
      <c r="D1593">
        <v>753.01788999999997</v>
      </c>
      <c r="E1593">
        <v>1.00139</v>
      </c>
    </row>
    <row r="1594" spans="1:5" x14ac:dyDescent="0.25">
      <c r="A1594">
        <v>750.97718999999995</v>
      </c>
      <c r="B1594">
        <v>1.0012700000000001</v>
      </c>
      <c r="D1594">
        <v>750.97718999999995</v>
      </c>
      <c r="E1594">
        <v>1.0016</v>
      </c>
    </row>
    <row r="1595" spans="1:5" x14ac:dyDescent="0.25">
      <c r="A1595">
        <v>748.93649000000005</v>
      </c>
      <c r="B1595">
        <v>1.0013700000000001</v>
      </c>
      <c r="D1595">
        <v>748.93649000000005</v>
      </c>
      <c r="E1595">
        <v>1.00187</v>
      </c>
    </row>
    <row r="1596" spans="1:5" x14ac:dyDescent="0.25">
      <c r="A1596">
        <v>746.89579000000003</v>
      </c>
      <c r="B1596">
        <v>1.00146</v>
      </c>
      <c r="D1596">
        <v>746.89579000000003</v>
      </c>
      <c r="E1596">
        <v>1.0015099999999999</v>
      </c>
    </row>
    <row r="1597" spans="1:5" x14ac:dyDescent="0.25">
      <c r="A1597">
        <v>744.85509000000002</v>
      </c>
      <c r="B1597">
        <v>1.0014099999999999</v>
      </c>
      <c r="D1597">
        <v>744.85509000000002</v>
      </c>
      <c r="E1597">
        <v>1.00105</v>
      </c>
    </row>
    <row r="1598" spans="1:5" x14ac:dyDescent="0.25">
      <c r="A1598">
        <v>742.81439999999998</v>
      </c>
      <c r="B1598">
        <v>1.0013000000000001</v>
      </c>
      <c r="D1598">
        <v>742.81439999999998</v>
      </c>
      <c r="E1598">
        <v>1.00153</v>
      </c>
    </row>
    <row r="1599" spans="1:5" x14ac:dyDescent="0.25">
      <c r="A1599">
        <v>740.77369999999996</v>
      </c>
      <c r="B1599">
        <v>1.0013799999999999</v>
      </c>
      <c r="D1599">
        <v>740.77369999999996</v>
      </c>
      <c r="E1599">
        <v>1.00234</v>
      </c>
    </row>
    <row r="1600" spans="1:5" x14ac:dyDescent="0.25">
      <c r="A1600">
        <v>738.73299999999995</v>
      </c>
      <c r="B1600">
        <v>1.00173</v>
      </c>
      <c r="D1600">
        <v>738.73299999999995</v>
      </c>
      <c r="E1600">
        <v>1.00238</v>
      </c>
    </row>
    <row r="1601" spans="1:5" x14ac:dyDescent="0.25">
      <c r="A1601">
        <v>736.69230000000005</v>
      </c>
      <c r="B1601">
        <v>1.0021500000000001</v>
      </c>
      <c r="D1601">
        <v>736.69230000000005</v>
      </c>
      <c r="E1601">
        <v>1.0020100000000001</v>
      </c>
    </row>
    <row r="1602" spans="1:5" x14ac:dyDescent="0.25">
      <c r="A1602">
        <v>734.65160000000003</v>
      </c>
      <c r="B1602">
        <v>1.00248</v>
      </c>
      <c r="D1602">
        <v>734.65160000000003</v>
      </c>
      <c r="E1602">
        <v>1.0019199999999999</v>
      </c>
    </row>
    <row r="1603" spans="1:5" x14ac:dyDescent="0.25">
      <c r="A1603">
        <v>732.61090000000002</v>
      </c>
      <c r="B1603">
        <v>1.0027600000000001</v>
      </c>
      <c r="D1603">
        <v>732.61090000000002</v>
      </c>
      <c r="E1603">
        <v>1.0020199999999999</v>
      </c>
    </row>
    <row r="1604" spans="1:5" x14ac:dyDescent="0.25">
      <c r="A1604">
        <v>730.5702</v>
      </c>
      <c r="B1604">
        <v>1.0030600000000001</v>
      </c>
      <c r="D1604">
        <v>730.5702</v>
      </c>
      <c r="E1604">
        <v>1.0022200000000001</v>
      </c>
    </row>
    <row r="1605" spans="1:5" x14ac:dyDescent="0.25">
      <c r="A1605">
        <v>728.52949999999998</v>
      </c>
      <c r="B1605">
        <v>1.0033099999999999</v>
      </c>
      <c r="D1605">
        <v>728.52949999999998</v>
      </c>
      <c r="E1605">
        <v>1.0024500000000001</v>
      </c>
    </row>
    <row r="1606" spans="1:5" x14ac:dyDescent="0.25">
      <c r="A1606">
        <v>726.48879999999997</v>
      </c>
      <c r="B1606">
        <v>1.0034000000000001</v>
      </c>
      <c r="D1606">
        <v>726.48879999999997</v>
      </c>
      <c r="E1606">
        <v>1.0021100000000001</v>
      </c>
    </row>
    <row r="1607" spans="1:5" x14ac:dyDescent="0.25">
      <c r="A1607">
        <v>724.44811000000004</v>
      </c>
      <c r="B1607">
        <v>1.00339</v>
      </c>
      <c r="D1607">
        <v>724.44811000000004</v>
      </c>
      <c r="E1607">
        <v>1.0015700000000001</v>
      </c>
    </row>
    <row r="1608" spans="1:5" x14ac:dyDescent="0.25">
      <c r="A1608">
        <v>722.40741000000003</v>
      </c>
      <c r="B1608">
        <v>1.0032399999999999</v>
      </c>
      <c r="D1608">
        <v>722.40741000000003</v>
      </c>
      <c r="E1608">
        <v>1.0005500000000001</v>
      </c>
    </row>
    <row r="1609" spans="1:5" x14ac:dyDescent="0.25">
      <c r="A1609">
        <v>720.36671000000001</v>
      </c>
      <c r="B1609">
        <v>1.00295</v>
      </c>
      <c r="D1609">
        <v>720.36671000000001</v>
      </c>
      <c r="E1609">
        <v>1.00038</v>
      </c>
    </row>
    <row r="1610" spans="1:5" x14ac:dyDescent="0.25">
      <c r="A1610">
        <v>718.32601</v>
      </c>
      <c r="B1610">
        <v>1.00261</v>
      </c>
      <c r="D1610">
        <v>718.32601</v>
      </c>
      <c r="E1610">
        <v>1.00091</v>
      </c>
    </row>
    <row r="1611" spans="1:5" x14ac:dyDescent="0.25">
      <c r="A1611">
        <v>716.28530999999998</v>
      </c>
      <c r="B1611">
        <v>1.0022</v>
      </c>
      <c r="D1611">
        <v>716.28530999999998</v>
      </c>
      <c r="E1611">
        <v>1.00129</v>
      </c>
    </row>
    <row r="1612" spans="1:5" x14ac:dyDescent="0.25">
      <c r="A1612">
        <v>714.24460999999997</v>
      </c>
      <c r="B1612">
        <v>1.0016700000000001</v>
      </c>
      <c r="D1612">
        <v>714.24460999999997</v>
      </c>
      <c r="E1612">
        <v>1.00129</v>
      </c>
    </row>
    <row r="1613" spans="1:5" x14ac:dyDescent="0.25">
      <c r="A1613">
        <v>712.20390999999995</v>
      </c>
      <c r="B1613">
        <v>1.0011300000000001</v>
      </c>
      <c r="D1613">
        <v>712.20390999999995</v>
      </c>
      <c r="E1613">
        <v>1.00126</v>
      </c>
    </row>
    <row r="1614" spans="1:5" x14ac:dyDescent="0.25">
      <c r="A1614">
        <v>710.16321000000005</v>
      </c>
      <c r="B1614">
        <v>1.00074</v>
      </c>
      <c r="D1614">
        <v>710.16321000000005</v>
      </c>
      <c r="E1614">
        <v>1.00095</v>
      </c>
    </row>
    <row r="1615" spans="1:5" x14ac:dyDescent="0.25">
      <c r="A1615">
        <v>708.12251000000003</v>
      </c>
      <c r="B1615">
        <v>1.0005599999999999</v>
      </c>
      <c r="D1615">
        <v>708.12251000000003</v>
      </c>
      <c r="E1615">
        <v>1</v>
      </c>
    </row>
    <row r="1616" spans="1:5" x14ac:dyDescent="0.25">
      <c r="A1616">
        <v>706.08181999999999</v>
      </c>
      <c r="B1616">
        <v>1.00057</v>
      </c>
      <c r="D1616">
        <v>706.08181999999999</v>
      </c>
      <c r="E1616">
        <v>0.99916000000000005</v>
      </c>
    </row>
    <row r="1617" spans="1:5" x14ac:dyDescent="0.25">
      <c r="A1617">
        <v>704.04111999999998</v>
      </c>
      <c r="B1617">
        <v>1.00047</v>
      </c>
      <c r="D1617">
        <v>704.04111999999998</v>
      </c>
      <c r="E1617">
        <v>0.99846999999999997</v>
      </c>
    </row>
    <row r="1618" spans="1:5" x14ac:dyDescent="0.25">
      <c r="A1618">
        <v>702.00041999999996</v>
      </c>
      <c r="B1618">
        <v>1.0001100000000001</v>
      </c>
      <c r="D1618">
        <v>702.00041999999996</v>
      </c>
      <c r="E1618">
        <v>0.99827999999999995</v>
      </c>
    </row>
    <row r="1619" spans="1:5" x14ac:dyDescent="0.25">
      <c r="A1619">
        <v>699.95971999999995</v>
      </c>
      <c r="B1619">
        <v>0.99958999999999998</v>
      </c>
      <c r="D1619">
        <v>699.95971999999995</v>
      </c>
      <c r="E1619">
        <v>0.99870999999999999</v>
      </c>
    </row>
    <row r="1620" spans="1:5" x14ac:dyDescent="0.25">
      <c r="A1620">
        <v>697.91902000000005</v>
      </c>
      <c r="B1620">
        <v>0.99909999999999999</v>
      </c>
      <c r="D1620">
        <v>697.91902000000005</v>
      </c>
      <c r="E1620">
        <v>0.99953999999999998</v>
      </c>
    </row>
    <row r="1621" spans="1:5" x14ac:dyDescent="0.25">
      <c r="A1621">
        <v>695.87832000000003</v>
      </c>
      <c r="B1621">
        <v>0.99878999999999996</v>
      </c>
      <c r="D1621">
        <v>695.87832000000003</v>
      </c>
      <c r="E1621">
        <v>1.0007999999999999</v>
      </c>
    </row>
    <row r="1622" spans="1:5" x14ac:dyDescent="0.25">
      <c r="A1622">
        <v>693.83762000000002</v>
      </c>
      <c r="B1622">
        <v>0.99870999999999999</v>
      </c>
      <c r="D1622">
        <v>693.83762000000002</v>
      </c>
      <c r="E1622">
        <v>1.00122</v>
      </c>
    </row>
    <row r="1623" spans="1:5" x14ac:dyDescent="0.25">
      <c r="A1623">
        <v>691.79692</v>
      </c>
      <c r="B1623">
        <v>0.99868999999999997</v>
      </c>
      <c r="D1623">
        <v>691.79692</v>
      </c>
      <c r="E1623">
        <v>0.99897999999999998</v>
      </c>
    </row>
    <row r="1624" spans="1:5" x14ac:dyDescent="0.25">
      <c r="A1624">
        <v>689.75621999999998</v>
      </c>
      <c r="B1624">
        <v>0.99841999999999997</v>
      </c>
      <c r="D1624">
        <v>689.75621999999998</v>
      </c>
      <c r="E1624">
        <v>0.99580999999999997</v>
      </c>
    </row>
    <row r="1625" spans="1:5" x14ac:dyDescent="0.25">
      <c r="A1625">
        <v>687.71552999999994</v>
      </c>
      <c r="B1625">
        <v>0.99805999999999995</v>
      </c>
      <c r="D1625">
        <v>687.71552999999994</v>
      </c>
      <c r="E1625">
        <v>0.99568999999999996</v>
      </c>
    </row>
    <row r="1626" spans="1:5" x14ac:dyDescent="0.25">
      <c r="A1626">
        <v>685.67483000000004</v>
      </c>
      <c r="B1626">
        <v>0.99797000000000002</v>
      </c>
      <c r="D1626">
        <v>685.67483000000004</v>
      </c>
      <c r="E1626">
        <v>0.99934999999999996</v>
      </c>
    </row>
    <row r="1627" spans="1:5" x14ac:dyDescent="0.25">
      <c r="A1627">
        <v>683.63413000000003</v>
      </c>
      <c r="B1627">
        <v>0.99766999999999995</v>
      </c>
      <c r="D1627">
        <v>683.63413000000003</v>
      </c>
      <c r="E1627">
        <v>1.0032300000000001</v>
      </c>
    </row>
    <row r="1628" spans="1:5" x14ac:dyDescent="0.25">
      <c r="A1628">
        <v>681.59343000000001</v>
      </c>
      <c r="B1628">
        <v>0.99678999999999995</v>
      </c>
      <c r="D1628">
        <v>681.59343000000001</v>
      </c>
      <c r="E1628">
        <v>1.0038899999999999</v>
      </c>
    </row>
    <row r="1629" spans="1:5" x14ac:dyDescent="0.25">
      <c r="A1629">
        <v>679.55273</v>
      </c>
      <c r="B1629">
        <v>0.99607000000000001</v>
      </c>
      <c r="D1629">
        <v>679.55273</v>
      </c>
      <c r="E1629">
        <v>1.0019</v>
      </c>
    </row>
    <row r="1630" spans="1:5" x14ac:dyDescent="0.25">
      <c r="A1630">
        <v>677.51202999999998</v>
      </c>
      <c r="B1630">
        <v>0.99589000000000005</v>
      </c>
      <c r="D1630">
        <v>677.51202999999998</v>
      </c>
      <c r="E1630">
        <v>1.0001199999999999</v>
      </c>
    </row>
    <row r="1631" spans="1:5" x14ac:dyDescent="0.25">
      <c r="A1631">
        <v>675.47132999999997</v>
      </c>
      <c r="B1631">
        <v>0.99599000000000004</v>
      </c>
      <c r="D1631">
        <v>675.47132999999997</v>
      </c>
      <c r="E1631">
        <v>1.00037</v>
      </c>
    </row>
    <row r="1632" spans="1:5" x14ac:dyDescent="0.25">
      <c r="A1632">
        <v>673.43062999999995</v>
      </c>
      <c r="B1632">
        <v>0.99604000000000004</v>
      </c>
      <c r="D1632">
        <v>673.43062999999995</v>
      </c>
      <c r="E1632">
        <v>1.0020899999999999</v>
      </c>
    </row>
    <row r="1633" spans="1:5" x14ac:dyDescent="0.25">
      <c r="A1633">
        <v>671.38993000000005</v>
      </c>
      <c r="B1633">
        <v>0.99587999999999999</v>
      </c>
      <c r="D1633">
        <v>671.38993000000005</v>
      </c>
      <c r="E1633">
        <v>1.0000599999999999</v>
      </c>
    </row>
    <row r="1634" spans="1:5" x14ac:dyDescent="0.25">
      <c r="A1634">
        <v>669.34924000000001</v>
      </c>
      <c r="B1634">
        <v>0.99560999999999999</v>
      </c>
      <c r="D1634">
        <v>669.34924000000001</v>
      </c>
      <c r="E1634">
        <v>0.99229999999999996</v>
      </c>
    </row>
    <row r="1635" spans="1:5" x14ac:dyDescent="0.25">
      <c r="A1635">
        <v>667.30853999999999</v>
      </c>
      <c r="B1635">
        <v>0.99567000000000005</v>
      </c>
      <c r="D1635">
        <v>667.30853999999999</v>
      </c>
      <c r="E1635">
        <v>0.99199000000000004</v>
      </c>
    </row>
    <row r="1636" spans="1:5" x14ac:dyDescent="0.25">
      <c r="A1636">
        <v>665.26783999999998</v>
      </c>
      <c r="B1636">
        <v>0.99631000000000003</v>
      </c>
      <c r="D1636">
        <v>665.26783999999998</v>
      </c>
      <c r="E1636">
        <v>1.0019199999999999</v>
      </c>
    </row>
    <row r="1637" spans="1:5" x14ac:dyDescent="0.25">
      <c r="A1637">
        <v>663.22713999999996</v>
      </c>
      <c r="B1637">
        <v>0.99722999999999995</v>
      </c>
      <c r="D1637">
        <v>663.22713999999996</v>
      </c>
      <c r="E1637">
        <v>1.0063</v>
      </c>
    </row>
    <row r="1638" spans="1:5" x14ac:dyDescent="0.25">
      <c r="A1638">
        <v>661.18643999999995</v>
      </c>
      <c r="B1638">
        <v>0.99792000000000003</v>
      </c>
      <c r="D1638">
        <v>661.18643999999995</v>
      </c>
      <c r="E1638">
        <v>1.0032000000000001</v>
      </c>
    </row>
    <row r="1639" spans="1:5" x14ac:dyDescent="0.25">
      <c r="A1639">
        <v>659.14574000000005</v>
      </c>
      <c r="B1639">
        <v>0.99812000000000001</v>
      </c>
      <c r="D1639">
        <v>659.14574000000005</v>
      </c>
      <c r="E1639">
        <v>0.99953000000000003</v>
      </c>
    </row>
    <row r="1640" spans="1:5" x14ac:dyDescent="0.25">
      <c r="A1640">
        <v>657.10504000000003</v>
      </c>
      <c r="B1640">
        <v>0.99804000000000004</v>
      </c>
      <c r="D1640">
        <v>657.10504000000003</v>
      </c>
      <c r="E1640">
        <v>0.99819000000000002</v>
      </c>
    </row>
    <row r="1641" spans="1:5" x14ac:dyDescent="0.25">
      <c r="A1641">
        <v>655.06434000000002</v>
      </c>
      <c r="B1641">
        <v>0.99821000000000004</v>
      </c>
      <c r="D1641">
        <v>655.06434000000002</v>
      </c>
      <c r="E1641">
        <v>0.99961999999999995</v>
      </c>
    </row>
    <row r="1642" spans="1:5" x14ac:dyDescent="0.25">
      <c r="A1642">
        <v>653.02364</v>
      </c>
      <c r="B1642">
        <v>0.99870000000000003</v>
      </c>
      <c r="D1642">
        <v>653.02364</v>
      </c>
      <c r="E1642">
        <v>1.0022</v>
      </c>
    </row>
    <row r="1643" spans="1:5" x14ac:dyDescent="0.25">
      <c r="A1643">
        <v>650.98294999999996</v>
      </c>
      <c r="B1643">
        <v>0.99878</v>
      </c>
      <c r="D1643">
        <v>650.98294999999996</v>
      </c>
      <c r="E1643">
        <v>1.0031699999999999</v>
      </c>
    </row>
    <row r="1644" spans="1:5" x14ac:dyDescent="0.25">
      <c r="A1644">
        <v>648.94224999999994</v>
      </c>
      <c r="B1644">
        <v>0.99831999999999999</v>
      </c>
      <c r="D1644">
        <v>648.94224999999994</v>
      </c>
      <c r="E1644">
        <v>1.0022200000000001</v>
      </c>
    </row>
    <row r="1645" spans="1:5" x14ac:dyDescent="0.25">
      <c r="A1645">
        <v>646.90155000000004</v>
      </c>
      <c r="B1645">
        <v>0.99795999999999996</v>
      </c>
      <c r="D1645">
        <v>646.90155000000004</v>
      </c>
      <c r="E1645">
        <v>1.0019199999999999</v>
      </c>
    </row>
    <row r="1646" spans="1:5" x14ac:dyDescent="0.25">
      <c r="A1646">
        <v>644.86085000000003</v>
      </c>
      <c r="B1646">
        <v>0.99785999999999997</v>
      </c>
      <c r="D1646">
        <v>644.86085000000003</v>
      </c>
      <c r="E1646">
        <v>1.0041500000000001</v>
      </c>
    </row>
    <row r="1647" spans="1:5" x14ac:dyDescent="0.25">
      <c r="A1647">
        <v>642.82015000000001</v>
      </c>
      <c r="B1647">
        <v>0.99790000000000001</v>
      </c>
      <c r="D1647">
        <v>642.82015000000001</v>
      </c>
      <c r="E1647">
        <v>1.00746</v>
      </c>
    </row>
    <row r="1648" spans="1:5" x14ac:dyDescent="0.25">
      <c r="A1648">
        <v>640.77945</v>
      </c>
      <c r="B1648">
        <v>0.99816000000000005</v>
      </c>
      <c r="D1648">
        <v>640.77945</v>
      </c>
      <c r="E1648">
        <v>1.00831</v>
      </c>
    </row>
    <row r="1649" spans="1:5" x14ac:dyDescent="0.25">
      <c r="A1649">
        <v>638.73874999999998</v>
      </c>
      <c r="B1649">
        <v>0.99873999999999996</v>
      </c>
      <c r="D1649">
        <v>638.73874999999998</v>
      </c>
      <c r="E1649">
        <v>1.006</v>
      </c>
    </row>
    <row r="1650" spans="1:5" x14ac:dyDescent="0.25">
      <c r="A1650">
        <v>636.69804999999997</v>
      </c>
      <c r="B1650">
        <v>0.99987000000000004</v>
      </c>
      <c r="D1650">
        <v>636.69804999999997</v>
      </c>
      <c r="E1650">
        <v>1.0035000000000001</v>
      </c>
    </row>
    <row r="1651" spans="1:5" x14ac:dyDescent="0.25">
      <c r="A1651">
        <v>634.65734999999995</v>
      </c>
      <c r="B1651">
        <v>1.0013700000000001</v>
      </c>
      <c r="D1651">
        <v>634.65734999999995</v>
      </c>
      <c r="E1651">
        <v>1.00217</v>
      </c>
    </row>
    <row r="1652" spans="1:5" x14ac:dyDescent="0.25">
      <c r="A1652">
        <v>632.61666000000002</v>
      </c>
      <c r="B1652">
        <v>1.00244</v>
      </c>
      <c r="D1652">
        <v>632.61666000000002</v>
      </c>
      <c r="E1652">
        <v>1.0019400000000001</v>
      </c>
    </row>
    <row r="1653" spans="1:5" x14ac:dyDescent="0.25">
      <c r="A1653">
        <v>630.57596000000001</v>
      </c>
      <c r="B1653">
        <v>1.0028300000000001</v>
      </c>
      <c r="D1653">
        <v>630.57596000000001</v>
      </c>
      <c r="E1653">
        <v>1.0037499999999999</v>
      </c>
    </row>
    <row r="1654" spans="1:5" x14ac:dyDescent="0.25">
      <c r="A1654">
        <v>628.53525999999999</v>
      </c>
      <c r="B1654">
        <v>1.00267</v>
      </c>
      <c r="D1654">
        <v>628.53525999999999</v>
      </c>
      <c r="E1654">
        <v>1.0061800000000001</v>
      </c>
    </row>
    <row r="1655" spans="1:5" x14ac:dyDescent="0.25">
      <c r="A1655">
        <v>626.49455999999998</v>
      </c>
      <c r="B1655">
        <v>1.0016099999999999</v>
      </c>
      <c r="D1655">
        <v>626.49455999999998</v>
      </c>
      <c r="E1655">
        <v>1.00797</v>
      </c>
    </row>
    <row r="1656" spans="1:5" x14ac:dyDescent="0.25">
      <c r="A1656">
        <v>624.45385999999996</v>
      </c>
      <c r="B1656">
        <v>0.99965000000000004</v>
      </c>
      <c r="D1656">
        <v>624.45385999999996</v>
      </c>
      <c r="E1656">
        <v>1.0058199999999999</v>
      </c>
    </row>
    <row r="1657" spans="1:5" x14ac:dyDescent="0.25">
      <c r="A1657">
        <v>622.41315999999995</v>
      </c>
      <c r="B1657">
        <v>0.99770999999999999</v>
      </c>
      <c r="D1657">
        <v>622.41315999999995</v>
      </c>
      <c r="E1657">
        <v>1.00335</v>
      </c>
    </row>
    <row r="1658" spans="1:5" x14ac:dyDescent="0.25">
      <c r="A1658">
        <v>620.37246000000005</v>
      </c>
      <c r="B1658">
        <v>0.99653000000000003</v>
      </c>
      <c r="D1658">
        <v>620.37246000000005</v>
      </c>
      <c r="E1658">
        <v>0.999</v>
      </c>
    </row>
    <row r="1659" spans="1:5" x14ac:dyDescent="0.25">
      <c r="A1659">
        <v>618.33176000000003</v>
      </c>
      <c r="B1659">
        <v>0.99583999999999995</v>
      </c>
      <c r="D1659">
        <v>618.33176000000003</v>
      </c>
      <c r="E1659">
        <v>0.99129999999999996</v>
      </c>
    </row>
    <row r="1660" spans="1:5" x14ac:dyDescent="0.25">
      <c r="A1660">
        <v>616.29106000000002</v>
      </c>
      <c r="B1660">
        <v>0.99494000000000005</v>
      </c>
      <c r="D1660">
        <v>616.29106000000002</v>
      </c>
      <c r="E1660">
        <v>0.98821999999999999</v>
      </c>
    </row>
    <row r="1661" spans="1:5" x14ac:dyDescent="0.25">
      <c r="A1661">
        <v>614.25036999999998</v>
      </c>
      <c r="B1661">
        <v>0.99494000000000005</v>
      </c>
      <c r="D1661">
        <v>614.25036999999998</v>
      </c>
      <c r="E1661">
        <v>0.99175000000000002</v>
      </c>
    </row>
    <row r="1662" spans="1:5" x14ac:dyDescent="0.25">
      <c r="A1662">
        <v>612.20966999999996</v>
      </c>
      <c r="B1662">
        <v>0.99494000000000005</v>
      </c>
      <c r="D1662">
        <v>612.20966999999996</v>
      </c>
      <c r="E1662">
        <v>0.99312</v>
      </c>
    </row>
    <row r="1663" spans="1:5" x14ac:dyDescent="0.25">
      <c r="A1663">
        <v>610.16896999999994</v>
      </c>
      <c r="B1663">
        <v>0.99494000000000005</v>
      </c>
      <c r="D1663">
        <v>610.16896999999994</v>
      </c>
      <c r="E1663">
        <v>0.98890999999999996</v>
      </c>
    </row>
    <row r="1664" spans="1:5" x14ac:dyDescent="0.25">
      <c r="A1664">
        <v>608.12827000000004</v>
      </c>
      <c r="B1664">
        <v>0.99494000000000005</v>
      </c>
      <c r="D1664">
        <v>608.12827000000004</v>
      </c>
      <c r="E1664">
        <v>0.98599999999999999</v>
      </c>
    </row>
    <row r="1665" spans="1:5" x14ac:dyDescent="0.25">
      <c r="A1665">
        <v>606.08757000000003</v>
      </c>
      <c r="B1665">
        <v>0.99494000000000005</v>
      </c>
      <c r="D1665">
        <v>606.08757000000003</v>
      </c>
      <c r="E1665">
        <v>0.98892000000000002</v>
      </c>
    </row>
    <row r="1666" spans="1:5" x14ac:dyDescent="0.25">
      <c r="A1666">
        <v>604.04687000000001</v>
      </c>
      <c r="B1666">
        <v>0.99494000000000005</v>
      </c>
      <c r="D1666">
        <v>604.04687000000001</v>
      </c>
      <c r="E1666">
        <v>0.99356999999999995</v>
      </c>
    </row>
    <row r="1667" spans="1:5" x14ac:dyDescent="0.25">
      <c r="A1667">
        <v>602.00617</v>
      </c>
      <c r="B1667">
        <v>0.99494000000000005</v>
      </c>
      <c r="D1667">
        <v>602.00617</v>
      </c>
      <c r="E1667">
        <v>0.99700999999999995</v>
      </c>
    </row>
    <row r="1668" spans="1:5" x14ac:dyDescent="0.25">
      <c r="A1668">
        <v>599.96546999999998</v>
      </c>
      <c r="B1668">
        <v>0.99494000000000005</v>
      </c>
      <c r="D1668">
        <v>599.96546999999998</v>
      </c>
      <c r="E1668">
        <v>1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workbookViewId="0">
      <selection activeCell="Q26" sqref="Q26"/>
    </sheetView>
  </sheetViews>
  <sheetFormatPr defaultRowHeight="15" x14ac:dyDescent="0.25"/>
  <cols>
    <col min="3" max="3" width="17.5703125" bestFit="1" customWidth="1"/>
    <col min="4" max="4" width="9.7109375" bestFit="1" customWidth="1"/>
    <col min="5" max="6" width="6" bestFit="1" customWidth="1"/>
    <col min="7" max="7" width="6" customWidth="1"/>
    <col min="8" max="8" width="6.140625" bestFit="1" customWidth="1"/>
    <col min="9" max="9" width="6.5703125" bestFit="1" customWidth="1"/>
    <col min="10" max="10" width="14.28515625" bestFit="1" customWidth="1"/>
    <col min="14" max="14" width="10.140625" customWidth="1"/>
  </cols>
  <sheetData>
    <row r="1" spans="2:14" x14ac:dyDescent="0.25">
      <c r="C1" s="77"/>
      <c r="D1" s="77"/>
      <c r="E1" s="77"/>
      <c r="F1" s="77"/>
      <c r="G1" s="77"/>
      <c r="H1" s="77"/>
      <c r="I1" s="77"/>
    </row>
    <row r="2" spans="2:14" x14ac:dyDescent="0.25">
      <c r="B2" s="78" t="s">
        <v>40</v>
      </c>
      <c r="C2" s="80" t="s">
        <v>30</v>
      </c>
      <c r="D2" s="8" t="s">
        <v>29</v>
      </c>
      <c r="E2" s="79" t="s">
        <v>37</v>
      </c>
      <c r="F2" s="79"/>
      <c r="G2" s="79"/>
      <c r="H2" s="32" t="s">
        <v>4</v>
      </c>
      <c r="I2" s="32" t="s">
        <v>1</v>
      </c>
      <c r="J2" s="69" t="s">
        <v>76</v>
      </c>
    </row>
    <row r="3" spans="2:14" x14ac:dyDescent="0.25">
      <c r="B3" s="78"/>
      <c r="C3" s="80"/>
      <c r="D3" s="20">
        <v>0</v>
      </c>
      <c r="E3" s="5">
        <v>6.6000000000000003E-2</v>
      </c>
      <c r="F3" s="5">
        <v>6.7000000000000004E-2</v>
      </c>
      <c r="G3" s="5">
        <v>6.5000000000000002E-2</v>
      </c>
      <c r="H3" s="7">
        <f>(AVERAGE(E3:G3))</f>
        <v>6.6000000000000003E-2</v>
      </c>
      <c r="I3" s="34">
        <f>(STDEV(E3:G3))</f>
        <v>1.0000000000000009E-3</v>
      </c>
      <c r="J3" s="20">
        <v>7.3999999999999996E-2</v>
      </c>
    </row>
    <row r="4" spans="2:14" x14ac:dyDescent="0.25">
      <c r="B4" s="78"/>
      <c r="C4" s="80"/>
      <c r="D4" s="20">
        <v>1</v>
      </c>
      <c r="E4" s="5">
        <v>6.0999999999999999E-2</v>
      </c>
      <c r="F4" s="5">
        <v>6.5000000000000002E-2</v>
      </c>
      <c r="G4" s="5">
        <v>6.6000000000000003E-2</v>
      </c>
      <c r="H4" s="7">
        <f t="shared" ref="H4:H11" si="0">(AVERAGE(E4:G4))</f>
        <v>6.4000000000000001E-2</v>
      </c>
      <c r="I4" s="34">
        <f t="shared" ref="I4:I10" si="1">(STDEV(E4:G4))</f>
        <v>2.6457513110645929E-3</v>
      </c>
      <c r="J4" s="20">
        <v>6.8000000000000005E-2</v>
      </c>
    </row>
    <row r="5" spans="2:14" x14ac:dyDescent="0.25">
      <c r="B5" s="78"/>
      <c r="C5" s="80"/>
      <c r="D5" s="20">
        <v>2</v>
      </c>
      <c r="E5" s="5">
        <v>5.5E-2</v>
      </c>
      <c r="F5" s="5">
        <v>6.5000000000000002E-2</v>
      </c>
      <c r="G5" s="5">
        <v>5.6000000000000001E-2</v>
      </c>
      <c r="H5" s="7">
        <f t="shared" si="0"/>
        <v>5.8666666666666666E-2</v>
      </c>
      <c r="I5" s="34">
        <f t="shared" si="1"/>
        <v>5.5075705472861025E-3</v>
      </c>
      <c r="J5" s="20">
        <v>7.3999999999999996E-2</v>
      </c>
    </row>
    <row r="6" spans="2:14" x14ac:dyDescent="0.25">
      <c r="B6" s="78"/>
      <c r="C6" s="80"/>
      <c r="D6" s="20">
        <v>3</v>
      </c>
      <c r="E6" s="6">
        <v>5.6125000000000001E-2</v>
      </c>
      <c r="F6" s="6">
        <v>5.0750000000000003E-2</v>
      </c>
      <c r="G6" s="6">
        <v>5.6099999999999997E-2</v>
      </c>
      <c r="H6" s="7">
        <f t="shared" si="0"/>
        <v>5.4324999999999991E-2</v>
      </c>
      <c r="I6" s="34">
        <f t="shared" si="1"/>
        <v>3.0960660522669704E-3</v>
      </c>
      <c r="J6" s="20">
        <v>7.1999999999999995E-2</v>
      </c>
      <c r="N6" s="4"/>
    </row>
    <row r="7" spans="2:14" x14ac:dyDescent="0.25">
      <c r="B7" s="78"/>
      <c r="C7" s="80"/>
      <c r="D7" s="20">
        <v>4</v>
      </c>
      <c r="E7" s="5">
        <v>6.4000000000000001E-2</v>
      </c>
      <c r="F7" s="5">
        <v>7.1999999999999995E-2</v>
      </c>
      <c r="G7" s="5">
        <v>6.8000000000000005E-2</v>
      </c>
      <c r="H7" s="7">
        <f t="shared" si="0"/>
        <v>6.8000000000000005E-2</v>
      </c>
      <c r="I7" s="34">
        <f t="shared" si="1"/>
        <v>3.9999999999999966E-3</v>
      </c>
      <c r="J7" s="20">
        <v>6.3E-2</v>
      </c>
      <c r="N7" s="4"/>
    </row>
    <row r="8" spans="2:14" x14ac:dyDescent="0.25">
      <c r="B8" s="78"/>
      <c r="C8" s="80"/>
      <c r="D8" s="20">
        <v>5</v>
      </c>
      <c r="E8" s="5">
        <v>7.6999999999999999E-2</v>
      </c>
      <c r="F8" s="5">
        <v>7.2999999999999995E-2</v>
      </c>
      <c r="G8" s="5">
        <v>0.08</v>
      </c>
      <c r="H8" s="7">
        <f t="shared" si="0"/>
        <v>7.6666666666666661E-2</v>
      </c>
      <c r="I8" s="34">
        <f t="shared" si="1"/>
        <v>3.5118845842842497E-3</v>
      </c>
      <c r="J8" s="20">
        <v>8.1000000000000003E-2</v>
      </c>
    </row>
    <row r="9" spans="2:14" x14ac:dyDescent="0.25">
      <c r="B9" s="78"/>
      <c r="C9" s="80" t="s">
        <v>28</v>
      </c>
      <c r="D9" s="20">
        <v>0</v>
      </c>
      <c r="E9" s="5">
        <v>7.6999999999999999E-2</v>
      </c>
      <c r="F9" s="33">
        <v>7.8E-2</v>
      </c>
      <c r="G9" s="5">
        <v>8.1000000000000003E-2</v>
      </c>
      <c r="H9" s="7">
        <f t="shared" si="0"/>
        <v>7.8666666666666663E-2</v>
      </c>
      <c r="I9" s="34">
        <f t="shared" si="1"/>
        <v>2.0816659994661348E-3</v>
      </c>
      <c r="J9" s="20">
        <v>7.3999999999999996E-2</v>
      </c>
    </row>
    <row r="10" spans="2:14" x14ac:dyDescent="0.25">
      <c r="B10" s="78"/>
      <c r="C10" s="80"/>
      <c r="D10" s="20">
        <v>1</v>
      </c>
      <c r="E10" s="5">
        <v>0.65700000000000003</v>
      </c>
      <c r="F10" s="5">
        <v>0.48899999999999999</v>
      </c>
      <c r="G10" s="5">
        <v>0.55400000000000005</v>
      </c>
      <c r="H10" s="7">
        <f t="shared" si="0"/>
        <v>0.56666666666666665</v>
      </c>
      <c r="I10" s="34">
        <f t="shared" si="1"/>
        <v>8.4713241782695639E-2</v>
      </c>
      <c r="J10" s="20">
        <v>6.8000000000000005E-2</v>
      </c>
    </row>
    <row r="11" spans="2:14" x14ac:dyDescent="0.25">
      <c r="B11" s="78"/>
      <c r="C11" s="80"/>
      <c r="D11" s="20">
        <v>2</v>
      </c>
      <c r="E11" s="5">
        <v>0.61799999999999999</v>
      </c>
      <c r="F11" s="5">
        <v>0.63900000000000001</v>
      </c>
      <c r="G11" s="5">
        <v>0.54300000000000004</v>
      </c>
      <c r="H11" s="7">
        <f t="shared" si="0"/>
        <v>0.60000000000000009</v>
      </c>
      <c r="I11" s="34">
        <f>(STDEV(E11:G11))</f>
        <v>5.0467811523782144E-2</v>
      </c>
      <c r="J11" s="20">
        <v>7.3999999999999996E-2</v>
      </c>
    </row>
    <row r="16" spans="2:14" x14ac:dyDescent="0.25">
      <c r="C16" s="78" t="s">
        <v>0</v>
      </c>
      <c r="D16" s="45" t="s">
        <v>29</v>
      </c>
      <c r="E16" s="79" t="s">
        <v>37</v>
      </c>
      <c r="F16" s="79"/>
      <c r="G16" s="79"/>
      <c r="H16" s="32" t="s">
        <v>4</v>
      </c>
      <c r="I16" s="32" t="s">
        <v>1</v>
      </c>
      <c r="J16" s="69" t="s">
        <v>76</v>
      </c>
    </row>
    <row r="17" spans="3:10" x14ac:dyDescent="0.25">
      <c r="C17" s="78"/>
      <c r="D17" s="20">
        <v>0</v>
      </c>
      <c r="E17" s="5">
        <v>7.0000000000000007E-2</v>
      </c>
      <c r="F17" s="5">
        <v>5.7000000000000002E-2</v>
      </c>
      <c r="G17" s="5">
        <v>6.2E-2</v>
      </c>
      <c r="H17" s="7">
        <f>(AVERAGE(E17:G17))</f>
        <v>6.3E-2</v>
      </c>
      <c r="I17" s="34">
        <f>(STDEV(E17:G17))</f>
        <v>6.5574385243020025E-3</v>
      </c>
      <c r="J17" s="20">
        <v>7.3999999999999996E-2</v>
      </c>
    </row>
    <row r="18" spans="3:10" x14ac:dyDescent="0.25">
      <c r="C18" s="78"/>
      <c r="D18" s="20">
        <v>1</v>
      </c>
      <c r="E18" s="5">
        <v>0.26700000000000002</v>
      </c>
      <c r="F18" s="5">
        <v>0.28799999999999998</v>
      </c>
      <c r="G18" s="5">
        <v>0.186</v>
      </c>
      <c r="H18" s="7">
        <f t="shared" ref="H18:H22" si="2">(AVERAGE(E18:G18))</f>
        <v>0.24699999999999997</v>
      </c>
      <c r="I18" s="34">
        <f t="shared" ref="I18:I22" si="3">(STDEV(E18:G18))</f>
        <v>5.386093203798132E-2</v>
      </c>
      <c r="J18" s="20">
        <v>6.8000000000000005E-2</v>
      </c>
    </row>
    <row r="19" spans="3:10" x14ac:dyDescent="0.25">
      <c r="C19" s="78"/>
      <c r="D19" s="20">
        <v>2</v>
      </c>
      <c r="E19" s="5">
        <v>0.42399999999999999</v>
      </c>
      <c r="F19" s="5">
        <v>0.48499999999999999</v>
      </c>
      <c r="G19" s="5">
        <v>0.52</v>
      </c>
      <c r="H19" s="7">
        <f t="shared" si="2"/>
        <v>0.47633333333333333</v>
      </c>
      <c r="I19" s="34">
        <f t="shared" si="3"/>
        <v>4.8583261863869687E-2</v>
      </c>
      <c r="J19" s="20">
        <v>7.3999999999999996E-2</v>
      </c>
    </row>
    <row r="20" spans="3:10" x14ac:dyDescent="0.25">
      <c r="C20" s="78"/>
      <c r="D20" s="20">
        <v>3</v>
      </c>
      <c r="E20" s="6">
        <v>0.52100000000000002</v>
      </c>
      <c r="F20" s="6">
        <v>0.51900000000000002</v>
      </c>
      <c r="G20" s="6">
        <v>0.52300000000000002</v>
      </c>
      <c r="H20" s="7">
        <f t="shared" si="2"/>
        <v>0.52100000000000002</v>
      </c>
      <c r="I20" s="34">
        <f t="shared" si="3"/>
        <v>2.0000000000000018E-3</v>
      </c>
      <c r="J20" s="20">
        <v>7.1999999999999995E-2</v>
      </c>
    </row>
    <row r="21" spans="3:10" x14ac:dyDescent="0.25">
      <c r="C21" s="78"/>
      <c r="D21" s="20">
        <v>4</v>
      </c>
      <c r="E21" s="5">
        <v>0.64400000000000002</v>
      </c>
      <c r="F21" s="5">
        <v>0.64900000000000002</v>
      </c>
      <c r="G21" s="5">
        <v>0.65400000000000003</v>
      </c>
      <c r="H21" s="7">
        <f t="shared" si="2"/>
        <v>0.64900000000000002</v>
      </c>
      <c r="I21" s="34">
        <f t="shared" si="3"/>
        <v>5.0000000000000044E-3</v>
      </c>
      <c r="J21" s="20">
        <v>6.3E-2</v>
      </c>
    </row>
    <row r="22" spans="3:10" x14ac:dyDescent="0.25">
      <c r="C22" s="78"/>
      <c r="D22" s="20">
        <v>5</v>
      </c>
      <c r="E22" s="5">
        <v>0.68400000000000005</v>
      </c>
      <c r="F22" s="5">
        <v>0.72099999999999997</v>
      </c>
      <c r="G22" s="5">
        <v>0.77200000000000002</v>
      </c>
      <c r="H22" s="7">
        <f t="shared" si="2"/>
        <v>0.72566666666666668</v>
      </c>
      <c r="I22" s="34">
        <f t="shared" si="3"/>
        <v>4.4185216230469351E-2</v>
      </c>
      <c r="J22" s="20">
        <v>8.1000000000000003E-2</v>
      </c>
    </row>
  </sheetData>
  <mergeCells count="7">
    <mergeCell ref="C1:I1"/>
    <mergeCell ref="B2:B11"/>
    <mergeCell ref="E16:G16"/>
    <mergeCell ref="C16:C22"/>
    <mergeCell ref="C9:C11"/>
    <mergeCell ref="E2:G2"/>
    <mergeCell ref="C2:C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23"/>
  <sheetViews>
    <sheetView topLeftCell="B1" workbookViewId="0">
      <selection activeCell="H20" sqref="H20"/>
    </sheetView>
  </sheetViews>
  <sheetFormatPr defaultRowHeight="15" x14ac:dyDescent="0.25"/>
  <cols>
    <col min="3" max="3" width="4.5703125" bestFit="1" customWidth="1"/>
    <col min="4" max="4" width="30" style="4" bestFit="1" customWidth="1"/>
    <col min="5" max="5" width="9.28515625" customWidth="1"/>
    <col min="9" max="14" width="13.5703125" bestFit="1" customWidth="1"/>
  </cols>
  <sheetData>
    <row r="1" spans="3:16" ht="15.75" thickBot="1" x14ac:dyDescent="0.3"/>
    <row r="2" spans="3:16" x14ac:dyDescent="0.25">
      <c r="C2" s="83" t="s">
        <v>18</v>
      </c>
      <c r="D2" s="84"/>
      <c r="E2" s="84"/>
      <c r="F2" s="84"/>
      <c r="G2" s="84"/>
      <c r="H2" s="84"/>
      <c r="I2" s="84"/>
      <c r="J2" s="84"/>
      <c r="K2" s="84"/>
      <c r="L2" s="84"/>
      <c r="M2" s="84"/>
      <c r="N2" s="85"/>
    </row>
    <row r="3" spans="3:16" x14ac:dyDescent="0.25">
      <c r="C3" s="88" t="s">
        <v>40</v>
      </c>
      <c r="D3" s="86" t="s">
        <v>56</v>
      </c>
      <c r="E3" s="79" t="s">
        <v>37</v>
      </c>
      <c r="F3" s="79"/>
      <c r="G3" s="79"/>
      <c r="H3" s="79"/>
      <c r="I3" s="78" t="s">
        <v>60</v>
      </c>
      <c r="J3" s="78"/>
      <c r="K3" s="78"/>
      <c r="L3" s="78"/>
      <c r="M3" s="78" t="s">
        <v>42</v>
      </c>
      <c r="N3" s="81" t="s">
        <v>59</v>
      </c>
    </row>
    <row r="4" spans="3:16" x14ac:dyDescent="0.25">
      <c r="C4" s="89"/>
      <c r="D4" s="87"/>
      <c r="E4" s="42">
        <v>1</v>
      </c>
      <c r="F4" s="42">
        <v>2</v>
      </c>
      <c r="G4" s="42">
        <v>3</v>
      </c>
      <c r="H4" s="42">
        <v>4</v>
      </c>
      <c r="I4" s="78"/>
      <c r="J4" s="78"/>
      <c r="K4" s="78"/>
      <c r="L4" s="78"/>
      <c r="M4" s="78"/>
      <c r="N4" s="82"/>
    </row>
    <row r="5" spans="3:16" x14ac:dyDescent="0.25">
      <c r="C5" s="89"/>
      <c r="D5" s="20" t="s">
        <v>21</v>
      </c>
      <c r="E5" s="9">
        <v>0.1</v>
      </c>
      <c r="F5" s="9">
        <v>0.11899999999999999</v>
      </c>
      <c r="G5" s="9">
        <v>0.125</v>
      </c>
      <c r="H5" s="9">
        <v>0.126</v>
      </c>
      <c r="I5" s="9">
        <f>(E5/0.333)*100</f>
        <v>30.03003003003003</v>
      </c>
      <c r="J5" s="9">
        <f>(F5/0.417)*100</f>
        <v>28.537170263788969</v>
      </c>
      <c r="K5" s="9">
        <f>(G5/0.349)*100</f>
        <v>35.816618911174785</v>
      </c>
      <c r="L5" s="9">
        <f>(H5/0.336)*100</f>
        <v>37.5</v>
      </c>
      <c r="M5" s="52">
        <f>(AVERAGE(I5:L5))</f>
        <v>32.970954801248446</v>
      </c>
      <c r="N5" s="13">
        <f>(STDEV(I5:L5))</f>
        <v>4.3557448070886062</v>
      </c>
    </row>
    <row r="6" spans="3:16" x14ac:dyDescent="0.25">
      <c r="C6" s="89"/>
      <c r="D6" s="20" t="s">
        <v>22</v>
      </c>
      <c r="E6" s="9">
        <v>0.112</v>
      </c>
      <c r="F6" s="9">
        <v>0.124</v>
      </c>
      <c r="G6" s="9">
        <v>0.129</v>
      </c>
      <c r="H6" s="9">
        <v>0.115</v>
      </c>
      <c r="I6" s="9">
        <f t="shared" ref="I6:I10" si="0">(E6/0.333)*100</f>
        <v>33.633633633633629</v>
      </c>
      <c r="J6" s="9">
        <f t="shared" ref="J6:J10" si="1">(F6/0.417)*100</f>
        <v>29.736211031175063</v>
      </c>
      <c r="K6" s="9">
        <f t="shared" ref="K6:K10" si="2">(G6/0.349)*100</f>
        <v>36.96275071633238</v>
      </c>
      <c r="L6" s="9">
        <f t="shared" ref="L6:L10" si="3">(H6/0.336)*100</f>
        <v>34.226190476190474</v>
      </c>
      <c r="M6" s="52">
        <f t="shared" ref="M6:M10" si="4">(AVERAGE(I6:L6))</f>
        <v>33.639696464332886</v>
      </c>
      <c r="N6" s="13">
        <f t="shared" ref="N6:N10" si="5">(STDEV(I6:L6))</f>
        <v>2.9790322854056779</v>
      </c>
    </row>
    <row r="7" spans="3:16" x14ac:dyDescent="0.25">
      <c r="C7" s="89"/>
      <c r="D7" s="20" t="s">
        <v>23</v>
      </c>
      <c r="E7" s="9">
        <v>0.29699999999999999</v>
      </c>
      <c r="F7" s="9">
        <v>0.21199999999999999</v>
      </c>
      <c r="G7" s="9">
        <v>0.20300000000000001</v>
      </c>
      <c r="H7" s="9">
        <v>0.19400000000000001</v>
      </c>
      <c r="I7" s="9">
        <f t="shared" si="0"/>
        <v>89.189189189189179</v>
      </c>
      <c r="J7" s="9">
        <f t="shared" si="1"/>
        <v>50.839328537170267</v>
      </c>
      <c r="K7" s="9">
        <f t="shared" si="2"/>
        <v>58.166189111747855</v>
      </c>
      <c r="L7" s="9">
        <f t="shared" si="3"/>
        <v>57.738095238095234</v>
      </c>
      <c r="M7" s="52">
        <f t="shared" si="4"/>
        <v>63.983200519050634</v>
      </c>
      <c r="N7" s="13">
        <f>(STDEV(J7:L7))</f>
        <v>4.1121594537369592</v>
      </c>
    </row>
    <row r="8" spans="3:16" x14ac:dyDescent="0.25">
      <c r="C8" s="89"/>
      <c r="D8" s="20" t="s">
        <v>24</v>
      </c>
      <c r="E8" s="9">
        <v>0.28899999999999998</v>
      </c>
      <c r="F8" s="9">
        <v>0.26900000000000002</v>
      </c>
      <c r="G8" s="9">
        <v>0.216</v>
      </c>
      <c r="H8" s="9">
        <v>0.217</v>
      </c>
      <c r="I8" s="9">
        <f t="shared" si="0"/>
        <v>86.786786786786777</v>
      </c>
      <c r="J8" s="9">
        <f t="shared" si="1"/>
        <v>64.50839328537171</v>
      </c>
      <c r="K8" s="9">
        <f t="shared" si="2"/>
        <v>61.891117478510026</v>
      </c>
      <c r="L8" s="9">
        <f t="shared" si="3"/>
        <v>64.583333333333329</v>
      </c>
      <c r="M8" s="52">
        <f t="shared" si="4"/>
        <v>69.44240772100045</v>
      </c>
      <c r="N8" s="13">
        <f>(STDEV(J8:M8))</f>
        <v>3.1501436680351107</v>
      </c>
    </row>
    <row r="9" spans="3:16" x14ac:dyDescent="0.25">
      <c r="C9" s="89"/>
      <c r="D9" s="20" t="s">
        <v>25</v>
      </c>
      <c r="E9" s="9">
        <v>0.28999999999999998</v>
      </c>
      <c r="F9" s="9">
        <v>0.312</v>
      </c>
      <c r="G9" s="9">
        <v>0.33300000000000002</v>
      </c>
      <c r="H9" s="9">
        <v>0.32400000000000001</v>
      </c>
      <c r="I9" s="9">
        <f t="shared" si="0"/>
        <v>87.087087087087085</v>
      </c>
      <c r="J9" s="9">
        <f t="shared" si="1"/>
        <v>74.82014388489209</v>
      </c>
      <c r="K9" s="9">
        <f t="shared" si="2"/>
        <v>95.415472779369637</v>
      </c>
      <c r="L9" s="9">
        <f t="shared" si="3"/>
        <v>96.428571428571431</v>
      </c>
      <c r="M9" s="52">
        <f t="shared" si="4"/>
        <v>88.43781879498006</v>
      </c>
      <c r="N9" s="13">
        <f>(STDEV(K9,L9,M9,I9))</f>
        <v>4.7610920118047417</v>
      </c>
    </row>
    <row r="10" spans="3:16" ht="15.75" thickBot="1" x14ac:dyDescent="0.3">
      <c r="C10" s="90"/>
      <c r="D10" s="51" t="s">
        <v>26</v>
      </c>
      <c r="E10" s="11">
        <v>0.33300000000000002</v>
      </c>
      <c r="F10" s="11">
        <v>0.41699999999999998</v>
      </c>
      <c r="G10" s="11">
        <v>0.34899999999999998</v>
      </c>
      <c r="H10" s="11">
        <v>0.33600000000000002</v>
      </c>
      <c r="I10" s="11">
        <f t="shared" si="0"/>
        <v>100</v>
      </c>
      <c r="J10" s="11">
        <f t="shared" si="1"/>
        <v>100</v>
      </c>
      <c r="K10" s="11">
        <f t="shared" si="2"/>
        <v>100</v>
      </c>
      <c r="L10" s="11">
        <f t="shared" si="3"/>
        <v>100</v>
      </c>
      <c r="M10" s="53">
        <f t="shared" si="4"/>
        <v>100</v>
      </c>
      <c r="N10" s="15">
        <f t="shared" si="5"/>
        <v>0</v>
      </c>
    </row>
    <row r="12" spans="3:16" ht="14.25" customHeight="1" x14ac:dyDescent="0.25"/>
    <row r="14" spans="3:16" ht="15.75" thickBot="1" x14ac:dyDescent="0.3"/>
    <row r="15" spans="3:16" x14ac:dyDescent="0.25">
      <c r="C15" s="93" t="s">
        <v>27</v>
      </c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5"/>
    </row>
    <row r="16" spans="3:16" x14ac:dyDescent="0.25">
      <c r="C16" s="91" t="s">
        <v>40</v>
      </c>
      <c r="D16" s="78" t="s">
        <v>56</v>
      </c>
      <c r="E16" s="102" t="s">
        <v>37</v>
      </c>
      <c r="F16" s="103"/>
      <c r="G16" s="103"/>
      <c r="H16" s="103"/>
      <c r="I16" s="104"/>
      <c r="J16" s="96" t="s">
        <v>60</v>
      </c>
      <c r="K16" s="97"/>
      <c r="L16" s="97"/>
      <c r="M16" s="97"/>
      <c r="N16" s="98"/>
      <c r="O16" s="5"/>
      <c r="P16" s="48"/>
    </row>
    <row r="17" spans="3:16" x14ac:dyDescent="0.25">
      <c r="C17" s="91"/>
      <c r="D17" s="78"/>
      <c r="E17" s="42">
        <v>1</v>
      </c>
      <c r="F17" s="42">
        <v>2</v>
      </c>
      <c r="G17" s="42">
        <v>3</v>
      </c>
      <c r="H17" s="42">
        <v>4</v>
      </c>
      <c r="I17" s="42">
        <v>5</v>
      </c>
      <c r="J17" s="99"/>
      <c r="K17" s="100"/>
      <c r="L17" s="100"/>
      <c r="M17" s="100"/>
      <c r="N17" s="101"/>
      <c r="O17" s="42" t="s">
        <v>19</v>
      </c>
      <c r="P17" s="23" t="s">
        <v>20</v>
      </c>
    </row>
    <row r="18" spans="3:16" x14ac:dyDescent="0.25">
      <c r="C18" s="91"/>
      <c r="D18" s="20" t="s">
        <v>21</v>
      </c>
      <c r="E18" s="20">
        <v>0.36699999999999999</v>
      </c>
      <c r="F18" s="20">
        <v>0.33</v>
      </c>
      <c r="G18" s="20">
        <v>0.252</v>
      </c>
      <c r="H18" s="20">
        <v>0.28000000000000003</v>
      </c>
      <c r="I18" s="20">
        <v>0.27400000000000002</v>
      </c>
      <c r="J18" s="9">
        <f t="shared" ref="J18:J23" si="6">(E18/0.459)*100</f>
        <v>79.95642701525054</v>
      </c>
      <c r="K18" s="9">
        <f t="shared" ref="K18:K23" si="7">(F18/0.536)*100</f>
        <v>61.567164179104473</v>
      </c>
      <c r="L18" s="9">
        <f t="shared" ref="L18:L23" si="8">(G18/0.609)*100</f>
        <v>41.379310344827587</v>
      </c>
      <c r="M18" s="31">
        <f t="shared" ref="M18:M23" si="9">(H18/0.404)*100</f>
        <v>69.306930693069319</v>
      </c>
      <c r="N18" s="31">
        <f>(I18/0.469)*100</f>
        <v>58.422174840085297</v>
      </c>
      <c r="O18" s="1">
        <f>(AVERAGE(J18:N18))</f>
        <v>62.126401414467445</v>
      </c>
      <c r="P18" s="13">
        <f>(STDEV(J18,K18,M18))</f>
        <v>9.2329188709358956</v>
      </c>
    </row>
    <row r="19" spans="3:16" x14ac:dyDescent="0.25">
      <c r="C19" s="91"/>
      <c r="D19" s="20" t="s">
        <v>22</v>
      </c>
      <c r="E19" s="20">
        <v>0.38</v>
      </c>
      <c r="F19" s="20">
        <v>0.40600000000000003</v>
      </c>
      <c r="G19" s="20">
        <v>0.39200000000000002</v>
      </c>
      <c r="H19" s="20">
        <v>0.379</v>
      </c>
      <c r="I19" s="20">
        <v>0.40300000000000002</v>
      </c>
      <c r="J19" s="9">
        <f t="shared" si="6"/>
        <v>82.788671023965151</v>
      </c>
      <c r="K19" s="9">
        <f t="shared" si="7"/>
        <v>75.746268656716424</v>
      </c>
      <c r="L19" s="9">
        <f t="shared" si="8"/>
        <v>64.367816091954026</v>
      </c>
      <c r="M19" s="31">
        <f t="shared" si="9"/>
        <v>93.811881188118804</v>
      </c>
      <c r="N19" s="31">
        <f t="shared" ref="N19:N23" si="10">(I19/0.469)*100</f>
        <v>85.927505330490419</v>
      </c>
      <c r="O19" s="1">
        <f t="shared" ref="O19:O23" si="11">(AVERAGE(J19:N19))</f>
        <v>80.528428458248968</v>
      </c>
      <c r="P19" s="13">
        <f>(STDEV(N19,M19,J19))</f>
        <v>5.6793019786952943</v>
      </c>
    </row>
    <row r="20" spans="3:16" x14ac:dyDescent="0.25">
      <c r="C20" s="91"/>
      <c r="D20" s="20" t="s">
        <v>23</v>
      </c>
      <c r="E20" s="20">
        <v>0.45200000000000001</v>
      </c>
      <c r="F20" s="20">
        <v>0.33700000000000002</v>
      </c>
      <c r="G20" s="20">
        <v>0.40500000000000003</v>
      </c>
      <c r="H20" s="20">
        <v>0.40100000000000002</v>
      </c>
      <c r="I20" s="20">
        <v>0.40799999999999997</v>
      </c>
      <c r="J20" s="9">
        <f t="shared" si="6"/>
        <v>98.474945533769059</v>
      </c>
      <c r="K20" s="9">
        <f t="shared" si="7"/>
        <v>62.873134328358205</v>
      </c>
      <c r="L20" s="9">
        <f t="shared" si="8"/>
        <v>66.502463054187203</v>
      </c>
      <c r="M20" s="31">
        <f t="shared" si="9"/>
        <v>99.257425742574256</v>
      </c>
      <c r="N20" s="31">
        <f t="shared" si="10"/>
        <v>86.99360341151386</v>
      </c>
      <c r="O20" s="1">
        <f t="shared" si="11"/>
        <v>82.820314414080514</v>
      </c>
      <c r="P20" s="13">
        <f>(STDEV(J20,M20,N20))</f>
        <v>6.8657948116400309</v>
      </c>
    </row>
    <row r="21" spans="3:16" x14ac:dyDescent="0.25">
      <c r="C21" s="91"/>
      <c r="D21" s="20" t="s">
        <v>24</v>
      </c>
      <c r="E21" s="20">
        <v>0.44800000000000001</v>
      </c>
      <c r="F21" s="20">
        <v>0.44400000000000001</v>
      </c>
      <c r="G21" s="20">
        <v>0.40799999999999997</v>
      </c>
      <c r="H21" s="20">
        <v>0.32400000000000001</v>
      </c>
      <c r="I21" s="20">
        <v>0.43099999999999999</v>
      </c>
      <c r="J21" s="9">
        <f t="shared" si="6"/>
        <v>97.60348583877996</v>
      </c>
      <c r="K21" s="9">
        <f t="shared" si="7"/>
        <v>82.835820895522389</v>
      </c>
      <c r="L21" s="9">
        <f t="shared" si="8"/>
        <v>66.995073891625609</v>
      </c>
      <c r="M21" s="31">
        <f t="shared" si="9"/>
        <v>80.198019801980195</v>
      </c>
      <c r="N21" s="31">
        <f t="shared" si="10"/>
        <v>91.897654584221755</v>
      </c>
      <c r="O21" s="1">
        <f t="shared" si="11"/>
        <v>83.906011002425984</v>
      </c>
      <c r="P21" s="13">
        <f>(STDEV(J21,M21,N21))</f>
        <v>8.8730698586746168</v>
      </c>
    </row>
    <row r="22" spans="3:16" x14ac:dyDescent="0.25">
      <c r="C22" s="91"/>
      <c r="D22" s="20" t="s">
        <v>25</v>
      </c>
      <c r="E22" s="20">
        <v>0.45800000000000002</v>
      </c>
      <c r="F22" s="20">
        <v>0.38100000000000001</v>
      </c>
      <c r="G22" s="20">
        <v>0.39900000000000002</v>
      </c>
      <c r="H22" s="20">
        <v>0.40699999999999997</v>
      </c>
      <c r="I22" s="20">
        <v>0.4</v>
      </c>
      <c r="J22" s="9">
        <f t="shared" si="6"/>
        <v>99.782135076252715</v>
      </c>
      <c r="K22" s="9">
        <f t="shared" si="7"/>
        <v>71.082089552238799</v>
      </c>
      <c r="L22" s="9">
        <f t="shared" si="8"/>
        <v>65.517241379310349</v>
      </c>
      <c r="M22" s="31">
        <f t="shared" si="9"/>
        <v>100.74257425742572</v>
      </c>
      <c r="N22" s="31">
        <f t="shared" si="10"/>
        <v>85.287846481876343</v>
      </c>
      <c r="O22" s="1">
        <f t="shared" si="11"/>
        <v>84.482377349420773</v>
      </c>
      <c r="P22" s="13">
        <f>(STDEV(J22,M22,N22))</f>
        <v>8.6588630498287564</v>
      </c>
    </row>
    <row r="23" spans="3:16" ht="15.75" thickBot="1" x14ac:dyDescent="0.3">
      <c r="C23" s="92"/>
      <c r="D23" s="51" t="s">
        <v>26</v>
      </c>
      <c r="E23" s="51">
        <v>0.45900000000000002</v>
      </c>
      <c r="F23" s="51">
        <v>0.53600000000000003</v>
      </c>
      <c r="G23" s="51">
        <v>0.60899999999999999</v>
      </c>
      <c r="H23" s="51">
        <v>0.40400000000000003</v>
      </c>
      <c r="I23" s="51">
        <v>0.46899999999999997</v>
      </c>
      <c r="J23" s="11">
        <f t="shared" si="6"/>
        <v>100</v>
      </c>
      <c r="K23" s="11">
        <f t="shared" si="7"/>
        <v>100</v>
      </c>
      <c r="L23" s="11">
        <f t="shared" si="8"/>
        <v>100</v>
      </c>
      <c r="M23" s="54">
        <f t="shared" si="9"/>
        <v>100</v>
      </c>
      <c r="N23" s="54">
        <f t="shared" si="10"/>
        <v>100</v>
      </c>
      <c r="O23" s="25">
        <f t="shared" si="11"/>
        <v>100</v>
      </c>
      <c r="P23" s="15">
        <f>(STDEV(E23:I23)*100)</f>
        <v>7.894491750581591</v>
      </c>
    </row>
  </sheetData>
  <mergeCells count="12">
    <mergeCell ref="D16:D17"/>
    <mergeCell ref="C16:C23"/>
    <mergeCell ref="C15:P15"/>
    <mergeCell ref="J16:N17"/>
    <mergeCell ref="E16:I16"/>
    <mergeCell ref="I3:L4"/>
    <mergeCell ref="M3:M4"/>
    <mergeCell ref="N3:N4"/>
    <mergeCell ref="C2:N2"/>
    <mergeCell ref="D3:D4"/>
    <mergeCell ref="C3:C10"/>
    <mergeCell ref="E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4"/>
  <sheetViews>
    <sheetView workbookViewId="0">
      <selection activeCell="C26" sqref="C26"/>
    </sheetView>
  </sheetViews>
  <sheetFormatPr defaultRowHeight="15" x14ac:dyDescent="0.25"/>
  <cols>
    <col min="2" max="2" width="14.42578125" bestFit="1" customWidth="1"/>
    <col min="9" max="9" width="10" bestFit="1" customWidth="1"/>
    <col min="10" max="10" width="7.7109375" bestFit="1" customWidth="1"/>
    <col min="17" max="17" width="20.28515625" bestFit="1" customWidth="1"/>
    <col min="18" max="18" width="18" bestFit="1" customWidth="1"/>
  </cols>
  <sheetData>
    <row r="2" spans="2:15" x14ac:dyDescent="0.25">
      <c r="B2" s="102" t="s">
        <v>7</v>
      </c>
      <c r="C2" s="103"/>
      <c r="D2" s="103"/>
      <c r="E2" s="103"/>
      <c r="F2" s="103"/>
      <c r="G2" s="103"/>
      <c r="H2" s="104"/>
    </row>
    <row r="3" spans="2:15" x14ac:dyDescent="0.25">
      <c r="B3" s="8" t="s">
        <v>6</v>
      </c>
      <c r="C3" s="20">
        <v>1</v>
      </c>
      <c r="D3" s="20">
        <v>2</v>
      </c>
      <c r="E3" s="20">
        <v>3</v>
      </c>
      <c r="F3" s="20">
        <v>4</v>
      </c>
      <c r="G3" s="20">
        <v>5</v>
      </c>
      <c r="H3" s="20">
        <v>6</v>
      </c>
    </row>
    <row r="4" spans="2:15" x14ac:dyDescent="0.25">
      <c r="B4" s="8" t="s">
        <v>40</v>
      </c>
      <c r="C4" s="20">
        <v>9.7000000000000003E-2</v>
      </c>
      <c r="D4" s="20">
        <v>0.09</v>
      </c>
      <c r="E4" s="20">
        <v>9.9000000000000005E-2</v>
      </c>
      <c r="F4" s="20">
        <v>9.5000000000000001E-2</v>
      </c>
      <c r="G4" s="20">
        <v>9.1999999999999998E-2</v>
      </c>
      <c r="H4" s="20">
        <v>9.2999999999999999E-2</v>
      </c>
    </row>
    <row r="5" spans="2:15" x14ac:dyDescent="0.25">
      <c r="B5" s="8" t="s">
        <v>0</v>
      </c>
      <c r="C5" s="20">
        <v>9.0999999999999998E-2</v>
      </c>
      <c r="D5" s="20">
        <v>9.1999999999999998E-2</v>
      </c>
      <c r="E5" s="20">
        <v>9.9000000000000005E-2</v>
      </c>
      <c r="F5" s="20">
        <v>9.4E-2</v>
      </c>
      <c r="G5" s="20">
        <v>9.7000000000000003E-2</v>
      </c>
      <c r="H5" s="20">
        <v>8.5000000000000006E-2</v>
      </c>
    </row>
    <row r="6" spans="2:15" x14ac:dyDescent="0.25">
      <c r="B6" s="8" t="s">
        <v>8</v>
      </c>
      <c r="C6" s="20">
        <v>1.161</v>
      </c>
      <c r="D6" s="20">
        <v>1.161</v>
      </c>
      <c r="E6" s="20">
        <v>1.161</v>
      </c>
      <c r="F6" s="20">
        <v>1.161</v>
      </c>
      <c r="G6" s="20">
        <v>1.161</v>
      </c>
      <c r="H6" s="20">
        <v>1.161</v>
      </c>
    </row>
    <row r="7" spans="2:15" x14ac:dyDescent="0.25">
      <c r="B7" s="8" t="s">
        <v>9</v>
      </c>
      <c r="C7" s="20">
        <v>5.3999999999999999E-2</v>
      </c>
      <c r="D7" s="20">
        <v>5.3999999999999999E-2</v>
      </c>
      <c r="E7" s="20">
        <v>5.3999999999999999E-2</v>
      </c>
      <c r="F7" s="20">
        <v>5.3999999999999999E-2</v>
      </c>
      <c r="G7" s="20">
        <v>5.3999999999999999E-2</v>
      </c>
      <c r="H7" s="20">
        <v>5.3999999999999999E-2</v>
      </c>
    </row>
    <row r="8" spans="2:15" ht="15.75" thickBot="1" x14ac:dyDescent="0.3"/>
    <row r="9" spans="2:15" x14ac:dyDescent="0.25">
      <c r="B9" s="83" t="s">
        <v>53</v>
      </c>
      <c r="C9" s="84"/>
      <c r="D9" s="84"/>
      <c r="E9" s="84"/>
      <c r="F9" s="84"/>
      <c r="G9" s="84"/>
      <c r="H9" s="84"/>
      <c r="I9" s="105" t="s">
        <v>44</v>
      </c>
      <c r="J9" s="106" t="s">
        <v>45</v>
      </c>
    </row>
    <row r="10" spans="2:15" x14ac:dyDescent="0.25">
      <c r="B10" s="44" t="s">
        <v>6</v>
      </c>
      <c r="C10" s="21">
        <v>1</v>
      </c>
      <c r="D10" s="21">
        <v>2</v>
      </c>
      <c r="E10" s="21">
        <v>3</v>
      </c>
      <c r="F10" s="21">
        <v>4</v>
      </c>
      <c r="G10" s="21">
        <v>5</v>
      </c>
      <c r="H10" s="21">
        <v>6</v>
      </c>
      <c r="I10" s="78"/>
      <c r="J10" s="107"/>
    </row>
    <row r="11" spans="2:15" x14ac:dyDescent="0.25">
      <c r="B11" s="44" t="s">
        <v>40</v>
      </c>
      <c r="C11" s="5">
        <f t="shared" ref="C11:H11" si="0">(C4-C7)/(C6-C7)*100</f>
        <v>3.8843721770551043</v>
      </c>
      <c r="D11" s="5">
        <f t="shared" si="0"/>
        <v>3.2520325203252027</v>
      </c>
      <c r="E11" s="5">
        <f t="shared" si="0"/>
        <v>4.0650406504065044</v>
      </c>
      <c r="F11" s="5">
        <f t="shared" si="0"/>
        <v>3.7037037037037042</v>
      </c>
      <c r="G11" s="5">
        <f t="shared" si="0"/>
        <v>3.4327009936766033</v>
      </c>
      <c r="H11" s="5">
        <f t="shared" si="0"/>
        <v>3.5230352303523031</v>
      </c>
      <c r="I11" s="70">
        <f>(AVERAGE(C11:H11))</f>
        <v>3.6434808792532372</v>
      </c>
      <c r="J11" s="72">
        <f>(STDEV(C11:H11))</f>
        <v>0.30051129057210874</v>
      </c>
    </row>
    <row r="12" spans="2:15" ht="15.75" thickBot="1" x14ac:dyDescent="0.3">
      <c r="B12" s="10" t="s">
        <v>0</v>
      </c>
      <c r="C12" s="50">
        <f t="shared" ref="C12:H12" si="1">(C5-C7)/(C6-C7)*100</f>
        <v>3.342366757000903</v>
      </c>
      <c r="D12" s="50">
        <f t="shared" si="1"/>
        <v>3.4327009936766033</v>
      </c>
      <c r="E12" s="50">
        <f t="shared" si="1"/>
        <v>4.0650406504065044</v>
      </c>
      <c r="F12" s="50">
        <f t="shared" si="1"/>
        <v>3.6133694670280039</v>
      </c>
      <c r="G12" s="50">
        <f t="shared" si="1"/>
        <v>3.8843721770551043</v>
      </c>
      <c r="H12" s="50">
        <f t="shared" si="1"/>
        <v>2.8003613369467035</v>
      </c>
      <c r="I12" s="71">
        <f t="shared" ref="I12" si="2">(AVERAGE(C12:H12))</f>
        <v>3.523035230352304</v>
      </c>
      <c r="J12" s="73">
        <f t="shared" ref="J12" si="3">(STDEV(C12:H12))</f>
        <v>0.44621821265504352</v>
      </c>
      <c r="O12" t="s">
        <v>10</v>
      </c>
    </row>
    <row r="13" spans="2:15" x14ac:dyDescent="0.25">
      <c r="O13" t="s">
        <v>11</v>
      </c>
    </row>
    <row r="14" spans="2:15" x14ac:dyDescent="0.25">
      <c r="O14" t="s">
        <v>12</v>
      </c>
    </row>
  </sheetData>
  <mergeCells count="4">
    <mergeCell ref="I9:I10"/>
    <mergeCell ref="J9:J10"/>
    <mergeCell ref="B9:H9"/>
    <mergeCell ref="B2:H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"/>
  <sheetViews>
    <sheetView workbookViewId="0">
      <selection activeCell="G12" sqref="G12"/>
    </sheetView>
  </sheetViews>
  <sheetFormatPr defaultRowHeight="15" x14ac:dyDescent="0.25"/>
  <cols>
    <col min="9" max="9" width="15" bestFit="1" customWidth="1"/>
    <col min="10" max="10" width="15.28515625" bestFit="1" customWidth="1"/>
  </cols>
  <sheetData>
    <row r="1" spans="2:10" ht="15.75" thickBot="1" x14ac:dyDescent="0.3"/>
    <row r="2" spans="2:10" x14ac:dyDescent="0.25">
      <c r="B2" s="123" t="s">
        <v>6</v>
      </c>
      <c r="C2" s="105" t="s">
        <v>54</v>
      </c>
      <c r="D2" s="105"/>
      <c r="E2" s="105"/>
      <c r="F2" s="105"/>
      <c r="G2" s="105"/>
      <c r="H2" s="105"/>
      <c r="I2" s="105" t="s">
        <v>58</v>
      </c>
      <c r="J2" s="106" t="s">
        <v>57</v>
      </c>
    </row>
    <row r="3" spans="2:10" x14ac:dyDescent="0.25">
      <c r="B3" s="91"/>
      <c r="C3" s="20">
        <v>1</v>
      </c>
      <c r="D3" s="20">
        <v>2</v>
      </c>
      <c r="E3" s="20">
        <v>3</v>
      </c>
      <c r="F3" s="20">
        <v>4</v>
      </c>
      <c r="G3" s="20">
        <v>5</v>
      </c>
      <c r="H3" s="20">
        <v>6</v>
      </c>
      <c r="I3" s="78"/>
      <c r="J3" s="107"/>
    </row>
    <row r="4" spans="2:10" x14ac:dyDescent="0.25">
      <c r="B4" s="74" t="s">
        <v>40</v>
      </c>
      <c r="C4" s="128">
        <f>4.3*60</f>
        <v>258</v>
      </c>
      <c r="D4" s="128">
        <f>4.11*60</f>
        <v>246.60000000000002</v>
      </c>
      <c r="E4" s="128">
        <f>4.15*60</f>
        <v>249.00000000000003</v>
      </c>
      <c r="F4" s="128">
        <v>248</v>
      </c>
      <c r="G4" s="128">
        <v>256</v>
      </c>
      <c r="H4" s="128">
        <v>258</v>
      </c>
      <c r="I4" s="129">
        <f>(AVERAGE(C4:H4))</f>
        <v>252.6</v>
      </c>
      <c r="J4" s="130">
        <f>(STDEV(C4:E4))</f>
        <v>6.0099916805266735</v>
      </c>
    </row>
    <row r="5" spans="2:10" x14ac:dyDescent="0.25">
      <c r="B5" s="74" t="s">
        <v>0</v>
      </c>
      <c r="C5" s="128">
        <v>250</v>
      </c>
      <c r="D5" s="128">
        <v>247</v>
      </c>
      <c r="E5" s="128">
        <v>259</v>
      </c>
      <c r="F5" s="128">
        <v>249</v>
      </c>
      <c r="G5" s="128">
        <v>247</v>
      </c>
      <c r="H5" s="128">
        <v>248</v>
      </c>
      <c r="I5" s="129">
        <f>(AVERAGE(C5:H5))</f>
        <v>250</v>
      </c>
      <c r="J5" s="130">
        <f>(STDEV(C5:H5))</f>
        <v>4.5607017003965522</v>
      </c>
    </row>
    <row r="6" spans="2:10" ht="15.75" thickBot="1" x14ac:dyDescent="0.3">
      <c r="B6" s="75" t="s">
        <v>13</v>
      </c>
      <c r="C6" s="131">
        <f>4.22*60</f>
        <v>253.2</v>
      </c>
      <c r="D6" s="131">
        <f>4.1*60</f>
        <v>245.99999999999997</v>
      </c>
      <c r="E6" s="131">
        <f>4.19*60</f>
        <v>251.40000000000003</v>
      </c>
      <c r="F6" s="131">
        <v>252</v>
      </c>
      <c r="G6" s="131">
        <v>249</v>
      </c>
      <c r="H6" s="131">
        <v>245</v>
      </c>
      <c r="I6" s="132">
        <f>(AVERAGE(C6:H6))</f>
        <v>249.43333333333331</v>
      </c>
      <c r="J6" s="133">
        <f>(STDEV(C6:E6))</f>
        <v>3.7469987990390559</v>
      </c>
    </row>
  </sheetData>
  <mergeCells count="4">
    <mergeCell ref="C2:H2"/>
    <mergeCell ref="B2:B3"/>
    <mergeCell ref="I2:I3"/>
    <mergeCell ref="J2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opLeftCell="C4" zoomScaleNormal="100" workbookViewId="0">
      <selection activeCell="P32" sqref="P32"/>
    </sheetView>
  </sheetViews>
  <sheetFormatPr defaultRowHeight="15" x14ac:dyDescent="0.25"/>
  <cols>
    <col min="1" max="1" width="15.7109375" bestFit="1" customWidth="1"/>
    <col min="2" max="2" width="13.28515625" bestFit="1" customWidth="1"/>
    <col min="8" max="8" width="14.5703125" bestFit="1" customWidth="1"/>
    <col min="9" max="9" width="18.42578125" bestFit="1" customWidth="1"/>
  </cols>
  <sheetData>
    <row r="1" spans="2:21" ht="18.75" x14ac:dyDescent="0.35">
      <c r="I1" s="60" t="s">
        <v>63</v>
      </c>
      <c r="M1" s="60" t="s">
        <v>64</v>
      </c>
    </row>
    <row r="2" spans="2:21" ht="18.75" x14ac:dyDescent="0.35">
      <c r="M2" s="60" t="s">
        <v>65</v>
      </c>
    </row>
    <row r="3" spans="2:21" ht="16.5" thickBot="1" x14ac:dyDescent="0.3">
      <c r="M3" s="60"/>
    </row>
    <row r="4" spans="2:21" x14ac:dyDescent="0.25">
      <c r="B4" s="108" t="s">
        <v>15</v>
      </c>
      <c r="C4" s="84" t="s">
        <v>55</v>
      </c>
      <c r="D4" s="84"/>
      <c r="E4" s="111" t="s">
        <v>14</v>
      </c>
      <c r="F4" s="112"/>
      <c r="G4" s="61"/>
      <c r="H4" s="78" t="s">
        <v>69</v>
      </c>
      <c r="I4" s="78"/>
      <c r="J4" s="79" t="s">
        <v>66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</row>
    <row r="5" spans="2:21" x14ac:dyDescent="0.25">
      <c r="B5" s="109"/>
      <c r="C5" s="55" t="s">
        <v>16</v>
      </c>
      <c r="D5" s="55" t="s">
        <v>17</v>
      </c>
      <c r="E5" s="55" t="s">
        <v>16</v>
      </c>
      <c r="F5" s="23" t="s">
        <v>17</v>
      </c>
      <c r="G5" s="61"/>
      <c r="H5" s="78"/>
      <c r="I5" s="78"/>
      <c r="J5" s="30">
        <v>0</v>
      </c>
      <c r="K5" s="30">
        <v>10</v>
      </c>
      <c r="L5" s="30">
        <v>20</v>
      </c>
      <c r="M5" s="30">
        <v>30</v>
      </c>
      <c r="N5" s="30">
        <v>40</v>
      </c>
      <c r="O5" s="30">
        <v>50</v>
      </c>
      <c r="P5" s="28">
        <v>60</v>
      </c>
      <c r="Q5" s="28">
        <v>120</v>
      </c>
      <c r="R5" s="28">
        <v>180</v>
      </c>
      <c r="S5" s="28">
        <v>240</v>
      </c>
      <c r="T5" s="28">
        <v>300</v>
      </c>
      <c r="U5" s="28">
        <v>360</v>
      </c>
    </row>
    <row r="6" spans="2:21" x14ac:dyDescent="0.25">
      <c r="B6" s="22">
        <v>0</v>
      </c>
      <c r="C6" s="12">
        <v>312.87146044065497</v>
      </c>
      <c r="D6" s="1">
        <v>239.21139722619378</v>
      </c>
      <c r="E6" s="12">
        <v>83.5883903063189</v>
      </c>
      <c r="F6" s="13">
        <v>33.006937597679837</v>
      </c>
      <c r="G6" s="62"/>
      <c r="H6" s="110" t="s">
        <v>67</v>
      </c>
      <c r="I6" s="64">
        <v>1</v>
      </c>
      <c r="J6" s="29">
        <v>0.04</v>
      </c>
      <c r="K6" s="29">
        <v>0.09</v>
      </c>
      <c r="L6" s="29">
        <v>0.1</v>
      </c>
      <c r="M6" s="29">
        <v>0.1</v>
      </c>
      <c r="N6" s="29">
        <v>0.1</v>
      </c>
      <c r="O6" s="29">
        <v>0.1</v>
      </c>
      <c r="P6" s="29">
        <v>0.11</v>
      </c>
      <c r="Q6" s="29">
        <v>0.13</v>
      </c>
      <c r="R6" s="29">
        <v>0.14000000000000001</v>
      </c>
      <c r="S6" s="29">
        <v>0.17</v>
      </c>
      <c r="T6" s="29">
        <v>0.18</v>
      </c>
      <c r="U6" s="29">
        <v>0.21</v>
      </c>
    </row>
    <row r="7" spans="2:21" x14ac:dyDescent="0.25">
      <c r="B7" s="22">
        <v>10</v>
      </c>
      <c r="C7" s="12">
        <v>493.70307548021339</v>
      </c>
      <c r="D7" s="1">
        <v>191.19892063117942</v>
      </c>
      <c r="E7" s="12">
        <v>111.02390847674057</v>
      </c>
      <c r="F7" s="13">
        <v>36.022630792462138</v>
      </c>
      <c r="G7" s="62"/>
      <c r="H7" s="110"/>
      <c r="I7" s="64">
        <v>2</v>
      </c>
      <c r="J7" s="29">
        <v>0.15</v>
      </c>
      <c r="K7" s="29">
        <v>0.18</v>
      </c>
      <c r="L7" s="29">
        <v>0.18</v>
      </c>
      <c r="M7" s="29">
        <v>0.18</v>
      </c>
      <c r="N7" s="29">
        <v>0.19</v>
      </c>
      <c r="O7" s="29">
        <v>0.19</v>
      </c>
      <c r="P7" s="29">
        <v>0.22</v>
      </c>
      <c r="Q7" s="29">
        <v>0.21</v>
      </c>
      <c r="R7" s="29">
        <v>0.25</v>
      </c>
      <c r="S7" s="29">
        <v>0.25</v>
      </c>
      <c r="T7" s="29">
        <v>0.26</v>
      </c>
      <c r="U7" s="29">
        <v>0.26</v>
      </c>
    </row>
    <row r="8" spans="2:21" x14ac:dyDescent="0.25">
      <c r="B8" s="22">
        <v>20</v>
      </c>
      <c r="C8" s="12">
        <v>534.61272818074485</v>
      </c>
      <c r="D8" s="1">
        <v>155.92853830049216</v>
      </c>
      <c r="E8" s="12">
        <v>119.48414536337339</v>
      </c>
      <c r="F8" s="13">
        <v>25.800839241877533</v>
      </c>
      <c r="G8" s="62"/>
      <c r="H8" s="110"/>
      <c r="I8" s="64">
        <v>3</v>
      </c>
      <c r="J8" s="29">
        <v>0.05</v>
      </c>
      <c r="K8" s="29">
        <v>7.0000000000000007E-2</v>
      </c>
      <c r="L8" s="29">
        <v>0.08</v>
      </c>
      <c r="M8" s="29">
        <v>0.08</v>
      </c>
      <c r="N8" s="29">
        <v>0.09</v>
      </c>
      <c r="O8" s="29">
        <v>0.08</v>
      </c>
      <c r="P8" s="29">
        <v>0.08</v>
      </c>
      <c r="Q8" s="29">
        <v>0.1</v>
      </c>
      <c r="R8" s="29">
        <v>0.11</v>
      </c>
      <c r="S8" s="29">
        <v>0.14000000000000001</v>
      </c>
      <c r="T8" s="29">
        <v>0.14000000000000001</v>
      </c>
      <c r="U8" s="29">
        <v>0.15</v>
      </c>
    </row>
    <row r="9" spans="2:21" x14ac:dyDescent="0.25">
      <c r="B9" s="22">
        <v>30</v>
      </c>
      <c r="C9" s="12">
        <v>534.61272818074485</v>
      </c>
      <c r="D9" s="1">
        <v>155.92853830049216</v>
      </c>
      <c r="E9" s="12">
        <v>127.9443822500062</v>
      </c>
      <c r="F9" s="13">
        <v>21.52185705342437</v>
      </c>
      <c r="G9" s="62"/>
      <c r="H9" s="110" t="s">
        <v>68</v>
      </c>
      <c r="I9" s="64">
        <v>1</v>
      </c>
      <c r="J9" s="12">
        <f t="shared" ref="J9:U9" si="0">(J6-$H$27)/($H$27)*100</f>
        <v>115.05376344086025</v>
      </c>
      <c r="K9" s="12">
        <f t="shared" si="0"/>
        <v>383.87096774193543</v>
      </c>
      <c r="L9" s="12">
        <f t="shared" si="0"/>
        <v>437.63440860215059</v>
      </c>
      <c r="M9" s="12">
        <f t="shared" si="0"/>
        <v>437.63440860215059</v>
      </c>
      <c r="N9" s="12">
        <f t="shared" si="0"/>
        <v>437.63440860215059</v>
      </c>
      <c r="O9" s="12">
        <f t="shared" si="0"/>
        <v>437.63440860215059</v>
      </c>
      <c r="P9" s="12">
        <f t="shared" si="0"/>
        <v>491.39784946236568</v>
      </c>
      <c r="Q9" s="12">
        <f t="shared" si="0"/>
        <v>598.92473118279565</v>
      </c>
      <c r="R9" s="12">
        <f t="shared" si="0"/>
        <v>652.68817204301092</v>
      </c>
      <c r="S9" s="12">
        <f t="shared" si="0"/>
        <v>813.97849462365593</v>
      </c>
      <c r="T9" s="12">
        <f t="shared" si="0"/>
        <v>867.74193548387098</v>
      </c>
      <c r="U9" s="12">
        <f t="shared" si="0"/>
        <v>1029.0322580645161</v>
      </c>
    </row>
    <row r="10" spans="2:21" x14ac:dyDescent="0.25">
      <c r="B10" s="22">
        <v>40</v>
      </c>
      <c r="C10" s="12">
        <v>572.68419018729821</v>
      </c>
      <c r="D10" s="1">
        <v>167.22358020025581</v>
      </c>
      <c r="E10" s="12">
        <v>136.53544754210245</v>
      </c>
      <c r="F10" s="13">
        <v>11.127233815217826</v>
      </c>
      <c r="G10" s="62"/>
      <c r="H10" s="110"/>
      <c r="I10" s="64">
        <v>2</v>
      </c>
      <c r="J10" s="12">
        <f t="shared" ref="J10:U10" si="1">(J7-$H$28)/($H$28)*100</f>
        <v>578.73303167420806</v>
      </c>
      <c r="K10" s="12">
        <f t="shared" si="1"/>
        <v>714.47963800904961</v>
      </c>
      <c r="L10" s="12">
        <f t="shared" si="1"/>
        <v>714.47963800904961</v>
      </c>
      <c r="M10" s="12">
        <f t="shared" si="1"/>
        <v>714.47963800904961</v>
      </c>
      <c r="N10" s="12">
        <f t="shared" si="1"/>
        <v>759.72850678733016</v>
      </c>
      <c r="O10" s="12">
        <f t="shared" si="1"/>
        <v>759.72850678733016</v>
      </c>
      <c r="P10" s="12">
        <f t="shared" si="1"/>
        <v>895.47511312217182</v>
      </c>
      <c r="Q10" s="12">
        <f t="shared" si="1"/>
        <v>850.22624434389127</v>
      </c>
      <c r="R10" s="12">
        <f t="shared" si="1"/>
        <v>1031.2217194570135</v>
      </c>
      <c r="S10" s="12">
        <f t="shared" si="1"/>
        <v>1031.2217194570135</v>
      </c>
      <c r="T10" s="12">
        <f t="shared" si="1"/>
        <v>1076.4705882352939</v>
      </c>
      <c r="U10" s="12">
        <f t="shared" si="1"/>
        <v>1076.4705882352939</v>
      </c>
    </row>
    <row r="11" spans="2:21" x14ac:dyDescent="0.25">
      <c r="B11" s="22">
        <v>50</v>
      </c>
      <c r="C11" s="12">
        <v>549.6956844401717</v>
      </c>
      <c r="D11" s="1">
        <v>182.03013477299584</v>
      </c>
      <c r="E11" s="12">
        <v>145.12651283419868</v>
      </c>
      <c r="F11" s="13">
        <v>15.075767006934878</v>
      </c>
      <c r="G11" s="62"/>
      <c r="H11" s="110"/>
      <c r="I11" s="64">
        <v>3</v>
      </c>
      <c r="J11" s="12">
        <f t="shared" ref="J11:U11" si="2">(J8-$H$29)/($H$29)*100</f>
        <v>244.82758620689657</v>
      </c>
      <c r="K11" s="12">
        <f t="shared" si="2"/>
        <v>382.75862068965523</v>
      </c>
      <c r="L11" s="12">
        <f t="shared" si="2"/>
        <v>451.72413793103453</v>
      </c>
      <c r="M11" s="12">
        <f t="shared" si="2"/>
        <v>451.72413793103453</v>
      </c>
      <c r="N11" s="12">
        <f t="shared" si="2"/>
        <v>520.68965517241384</v>
      </c>
      <c r="O11" s="12">
        <f t="shared" si="2"/>
        <v>451.72413793103453</v>
      </c>
      <c r="P11" s="12">
        <f t="shared" si="2"/>
        <v>451.72413793103453</v>
      </c>
      <c r="Q11" s="12">
        <f t="shared" si="2"/>
        <v>589.65517241379314</v>
      </c>
      <c r="R11" s="12">
        <f t="shared" si="2"/>
        <v>658.62068965517244</v>
      </c>
      <c r="S11" s="12">
        <f t="shared" si="2"/>
        <v>865.51724137931035</v>
      </c>
      <c r="T11" s="12">
        <f t="shared" si="2"/>
        <v>865.51724137931035</v>
      </c>
      <c r="U11" s="12">
        <f t="shared" si="2"/>
        <v>934.48275862068954</v>
      </c>
    </row>
    <row r="12" spans="2:21" x14ac:dyDescent="0.25">
      <c r="B12" s="22">
        <v>60</v>
      </c>
      <c r="C12" s="66">
        <v>612.86570017185738</v>
      </c>
      <c r="D12" s="1">
        <v>245.54950837409328</v>
      </c>
      <c r="E12" s="12">
        <v>157.17305112002433</v>
      </c>
      <c r="F12" s="13">
        <v>52.751058388792906</v>
      </c>
      <c r="G12" s="62"/>
      <c r="H12" s="79" t="s">
        <v>42</v>
      </c>
      <c r="I12" s="79"/>
      <c r="J12" s="12">
        <f>(AVERAGE(J9:J11))</f>
        <v>312.87146044065497</v>
      </c>
      <c r="K12" s="12">
        <f t="shared" ref="K12:U12" si="3">(AVERAGE(K9:K11))</f>
        <v>493.70307548021339</v>
      </c>
      <c r="L12" s="12">
        <f t="shared" si="3"/>
        <v>534.61272818074485</v>
      </c>
      <c r="M12" s="12">
        <f t="shared" si="3"/>
        <v>534.61272818074485</v>
      </c>
      <c r="N12" s="12">
        <f t="shared" si="3"/>
        <v>572.68419018729821</v>
      </c>
      <c r="O12" s="12">
        <f t="shared" si="3"/>
        <v>549.6956844401717</v>
      </c>
      <c r="P12" s="12">
        <f t="shared" si="3"/>
        <v>612.86570017185738</v>
      </c>
      <c r="Q12" s="12">
        <f t="shared" si="3"/>
        <v>679.60204931349335</v>
      </c>
      <c r="R12" s="12">
        <f t="shared" si="3"/>
        <v>780.84352705173239</v>
      </c>
      <c r="S12" s="12">
        <f t="shared" si="3"/>
        <v>903.57248515332651</v>
      </c>
      <c r="T12" s="12">
        <f t="shared" si="3"/>
        <v>936.57658836615838</v>
      </c>
      <c r="U12" s="12">
        <f t="shared" si="3"/>
        <v>1013.3285349734997</v>
      </c>
    </row>
    <row r="13" spans="2:21" x14ac:dyDescent="0.25">
      <c r="B13" s="22">
        <v>120</v>
      </c>
      <c r="C13" s="66">
        <v>679.60204931349335</v>
      </c>
      <c r="D13" s="1">
        <v>147.83755655201924</v>
      </c>
      <c r="E13" s="12">
        <v>199.86672076957862</v>
      </c>
      <c r="F13" s="13">
        <v>14.590370389533302</v>
      </c>
      <c r="G13" s="62"/>
      <c r="H13" s="79" t="s">
        <v>59</v>
      </c>
      <c r="I13" s="79"/>
      <c r="J13" s="1">
        <f>(STDEV(J9:J11))</f>
        <v>239.21139722619378</v>
      </c>
      <c r="K13" s="1">
        <f t="shared" ref="K13:U13" si="4">(STDEV(K9:K11))</f>
        <v>191.19892063117942</v>
      </c>
      <c r="L13" s="1">
        <f t="shared" si="4"/>
        <v>155.92853830049216</v>
      </c>
      <c r="M13" s="1">
        <f t="shared" si="4"/>
        <v>155.92853830049216</v>
      </c>
      <c r="N13" s="1">
        <f t="shared" si="4"/>
        <v>167.22358020025581</v>
      </c>
      <c r="O13" s="1">
        <f t="shared" si="4"/>
        <v>182.03013477299584</v>
      </c>
      <c r="P13" s="1">
        <f t="shared" si="4"/>
        <v>245.54950837409328</v>
      </c>
      <c r="Q13" s="1">
        <f t="shared" si="4"/>
        <v>147.83755655201924</v>
      </c>
      <c r="R13" s="1">
        <f t="shared" si="4"/>
        <v>216.85416324204235</v>
      </c>
      <c r="S13" s="1">
        <f t="shared" si="4"/>
        <v>113.51125877208835</v>
      </c>
      <c r="T13" s="1">
        <f t="shared" si="4"/>
        <v>121.15686408744672</v>
      </c>
      <c r="U13" s="1">
        <f t="shared" si="4"/>
        <v>72.284791822733837</v>
      </c>
    </row>
    <row r="14" spans="2:21" x14ac:dyDescent="0.25">
      <c r="B14" s="22">
        <v>180</v>
      </c>
      <c r="C14" s="66">
        <v>780.84352705173239</v>
      </c>
      <c r="D14" s="1">
        <v>216.85416324204235</v>
      </c>
      <c r="E14" s="12">
        <v>248.07067092338556</v>
      </c>
      <c r="F14" s="13">
        <v>50.360727185187521</v>
      </c>
      <c r="G14" s="62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2:21" x14ac:dyDescent="0.25">
      <c r="B15" s="22">
        <v>240</v>
      </c>
      <c r="C15" s="66">
        <v>903.57248515332651</v>
      </c>
      <c r="D15" s="1">
        <v>113.51125877208835</v>
      </c>
      <c r="E15" s="12">
        <v>265.12197310211462</v>
      </c>
      <c r="F15" s="13">
        <v>35.98005878013393</v>
      </c>
      <c r="G15" s="6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2:21" x14ac:dyDescent="0.25">
      <c r="B16" s="22">
        <v>300</v>
      </c>
      <c r="C16" s="66">
        <v>936.57658836615838</v>
      </c>
      <c r="D16" s="1">
        <v>121.15686408744672</v>
      </c>
      <c r="E16" s="12">
        <v>267.04595220717442</v>
      </c>
      <c r="F16" s="13">
        <v>59.889026338428238</v>
      </c>
      <c r="G16" s="62"/>
      <c r="H16" s="65" t="s">
        <v>67</v>
      </c>
      <c r="I16" s="63">
        <v>1</v>
      </c>
      <c r="J16" s="29">
        <v>7.0000000000000007E-2</v>
      </c>
      <c r="K16" s="29">
        <v>0.08</v>
      </c>
      <c r="L16" s="29">
        <v>0.08</v>
      </c>
      <c r="M16" s="29">
        <v>0.08</v>
      </c>
      <c r="N16" s="29">
        <v>0.09</v>
      </c>
      <c r="O16" s="29">
        <v>0.1</v>
      </c>
      <c r="P16" s="29">
        <v>0.08</v>
      </c>
      <c r="Q16" s="29">
        <v>0.11</v>
      </c>
      <c r="R16" s="29">
        <v>0.12</v>
      </c>
      <c r="S16" s="29">
        <v>0.13</v>
      </c>
      <c r="T16" s="29">
        <v>0.13</v>
      </c>
      <c r="U16" s="29">
        <v>0.13</v>
      </c>
    </row>
    <row r="17" spans="1:21" ht="15.75" thickBot="1" x14ac:dyDescent="0.3">
      <c r="B17" s="24">
        <v>360</v>
      </c>
      <c r="C17" s="67">
        <v>1013.3285349734997</v>
      </c>
      <c r="D17" s="25">
        <v>72.284791822733837</v>
      </c>
      <c r="E17" s="14">
        <v>283.96642598044008</v>
      </c>
      <c r="F17" s="15">
        <v>50.621347906040661</v>
      </c>
      <c r="G17" s="62"/>
      <c r="H17" s="65"/>
      <c r="I17" s="63">
        <v>2</v>
      </c>
      <c r="J17" s="29">
        <v>0.06</v>
      </c>
      <c r="K17" s="29">
        <v>7.0000000000000007E-2</v>
      </c>
      <c r="L17" s="29">
        <v>0.08</v>
      </c>
      <c r="M17" s="29">
        <v>0.09</v>
      </c>
      <c r="N17" s="29">
        <v>0.09</v>
      </c>
      <c r="O17" s="29">
        <v>0.09</v>
      </c>
      <c r="P17" s="29">
        <v>0.1</v>
      </c>
      <c r="Q17" s="29">
        <v>0.12</v>
      </c>
      <c r="R17" s="29">
        <v>0.13</v>
      </c>
      <c r="S17" s="29">
        <v>0.14000000000000001</v>
      </c>
      <c r="T17" s="29">
        <v>0.13</v>
      </c>
      <c r="U17" s="29">
        <v>0.15</v>
      </c>
    </row>
    <row r="18" spans="1:21" x14ac:dyDescent="0.25">
      <c r="H18" s="65"/>
      <c r="I18" s="63">
        <v>3</v>
      </c>
      <c r="J18" s="29">
        <v>7.0000000000000007E-2</v>
      </c>
      <c r="K18" s="29">
        <v>0.08</v>
      </c>
      <c r="L18" s="29">
        <v>0.08</v>
      </c>
      <c r="M18" s="29">
        <v>0.08</v>
      </c>
      <c r="N18" s="29">
        <v>0.08</v>
      </c>
      <c r="O18" s="29">
        <v>0.08</v>
      </c>
      <c r="P18" s="29">
        <v>0.1</v>
      </c>
      <c r="Q18" s="29">
        <v>0.1</v>
      </c>
      <c r="R18" s="29">
        <v>0.13</v>
      </c>
      <c r="S18" s="29">
        <v>0.13</v>
      </c>
      <c r="T18" s="29">
        <v>0.14000000000000001</v>
      </c>
      <c r="U18" s="29">
        <v>0.14000000000000001</v>
      </c>
    </row>
    <row r="19" spans="1:21" x14ac:dyDescent="0.25">
      <c r="H19" s="110" t="s">
        <v>68</v>
      </c>
      <c r="I19" s="64">
        <v>1</v>
      </c>
      <c r="J19" s="12">
        <f t="shared" ref="J19:U19" si="5">(J16-$I$27)/($I$27)*100</f>
        <v>80.412371134020631</v>
      </c>
      <c r="K19" s="12">
        <f t="shared" si="5"/>
        <v>106.18556701030928</v>
      </c>
      <c r="L19" s="12">
        <f t="shared" si="5"/>
        <v>106.18556701030928</v>
      </c>
      <c r="M19" s="12">
        <f t="shared" si="5"/>
        <v>106.18556701030928</v>
      </c>
      <c r="N19" s="12">
        <f t="shared" si="5"/>
        <v>131.95876288659792</v>
      </c>
      <c r="O19" s="12">
        <f t="shared" si="5"/>
        <v>157.73195876288662</v>
      </c>
      <c r="P19" s="12">
        <f t="shared" si="5"/>
        <v>106.18556701030928</v>
      </c>
      <c r="Q19" s="12">
        <f t="shared" si="5"/>
        <v>183.50515463917526</v>
      </c>
      <c r="R19" s="12">
        <f t="shared" si="5"/>
        <v>209.2783505154639</v>
      </c>
      <c r="S19" s="12">
        <f t="shared" si="5"/>
        <v>235.05154639175259</v>
      </c>
      <c r="T19" s="12">
        <f t="shared" si="5"/>
        <v>235.05154639175259</v>
      </c>
      <c r="U19" s="12">
        <f t="shared" si="5"/>
        <v>235.05154639175259</v>
      </c>
    </row>
    <row r="20" spans="1:21" x14ac:dyDescent="0.25">
      <c r="A20" s="27"/>
      <c r="B20" s="27"/>
      <c r="C20" s="27"/>
      <c r="D20" s="27"/>
      <c r="E20" s="27"/>
      <c r="F20" s="27"/>
      <c r="G20" s="27"/>
      <c r="H20" s="110"/>
      <c r="I20" s="64">
        <v>2</v>
      </c>
      <c r="J20" s="12">
        <f t="shared" ref="J20:U20" si="6">(J17-$I$28)/($I$28)*100</f>
        <v>52.284263959390863</v>
      </c>
      <c r="K20" s="12">
        <f t="shared" si="6"/>
        <v>77.664974619289367</v>
      </c>
      <c r="L20" s="12">
        <f t="shared" si="6"/>
        <v>103.04568527918782</v>
      </c>
      <c r="M20" s="12">
        <f t="shared" si="6"/>
        <v>128.42639593908629</v>
      </c>
      <c r="N20" s="12">
        <f t="shared" si="6"/>
        <v>128.42639593908629</v>
      </c>
      <c r="O20" s="12">
        <f t="shared" si="6"/>
        <v>128.42639593908629</v>
      </c>
      <c r="P20" s="12">
        <f t="shared" si="6"/>
        <v>153.8071065989848</v>
      </c>
      <c r="Q20" s="12">
        <f t="shared" si="6"/>
        <v>204.56852791878174</v>
      </c>
      <c r="R20" s="12">
        <f t="shared" si="6"/>
        <v>229.94923857868025</v>
      </c>
      <c r="S20" s="12">
        <f t="shared" si="6"/>
        <v>255.32994923857876</v>
      </c>
      <c r="T20" s="12">
        <f t="shared" si="6"/>
        <v>229.94923857868025</v>
      </c>
      <c r="U20" s="12">
        <f t="shared" si="6"/>
        <v>280.71065989847716</v>
      </c>
    </row>
    <row r="21" spans="1:21" x14ac:dyDescent="0.25">
      <c r="A21" s="27"/>
      <c r="B21" s="27"/>
      <c r="C21" s="27"/>
      <c r="D21" s="27"/>
      <c r="E21" s="27"/>
      <c r="F21" s="27"/>
      <c r="G21" s="27"/>
      <c r="H21" s="110"/>
      <c r="I21" s="64">
        <v>3</v>
      </c>
      <c r="J21" s="12">
        <f t="shared" ref="J21:U21" si="7">(J18-$I$29)/($I$29)*100</f>
        <v>118.06853582554521</v>
      </c>
      <c r="K21" s="12">
        <f t="shared" si="7"/>
        <v>149.22118380062307</v>
      </c>
      <c r="L21" s="12">
        <f t="shared" si="7"/>
        <v>149.22118380062307</v>
      </c>
      <c r="M21" s="12">
        <f t="shared" si="7"/>
        <v>149.22118380062307</v>
      </c>
      <c r="N21" s="12">
        <f t="shared" si="7"/>
        <v>149.22118380062307</v>
      </c>
      <c r="O21" s="12">
        <f t="shared" si="7"/>
        <v>149.22118380062307</v>
      </c>
      <c r="P21" s="12">
        <f t="shared" si="7"/>
        <v>211.52647975077889</v>
      </c>
      <c r="Q21" s="12">
        <f t="shared" si="7"/>
        <v>211.52647975077889</v>
      </c>
      <c r="R21" s="12">
        <f t="shared" si="7"/>
        <v>304.98442367601257</v>
      </c>
      <c r="S21" s="12">
        <f t="shared" si="7"/>
        <v>304.98442367601257</v>
      </c>
      <c r="T21" s="12">
        <f t="shared" si="7"/>
        <v>336.13707165109042</v>
      </c>
      <c r="U21" s="12">
        <f t="shared" si="7"/>
        <v>336.13707165109042</v>
      </c>
    </row>
    <row r="22" spans="1:21" x14ac:dyDescent="0.25">
      <c r="A22" s="27"/>
      <c r="B22" s="27"/>
      <c r="C22" s="27"/>
      <c r="D22" s="27"/>
      <c r="E22" s="27"/>
      <c r="F22" s="27"/>
      <c r="G22" s="27"/>
      <c r="H22" s="79" t="s">
        <v>42</v>
      </c>
      <c r="I22" s="79"/>
      <c r="J22" s="12">
        <f>(AVERAGE(J19:J21))</f>
        <v>83.5883903063189</v>
      </c>
      <c r="K22" s="12">
        <f t="shared" ref="K22:U22" si="8">(AVERAGE(K19:K21))</f>
        <v>111.02390847674057</v>
      </c>
      <c r="L22" s="12">
        <f t="shared" si="8"/>
        <v>119.48414536337339</v>
      </c>
      <c r="M22" s="12">
        <f t="shared" si="8"/>
        <v>127.9443822500062</v>
      </c>
      <c r="N22" s="12">
        <f t="shared" si="8"/>
        <v>136.53544754210245</v>
      </c>
      <c r="O22" s="12">
        <f t="shared" si="8"/>
        <v>145.12651283419868</v>
      </c>
      <c r="P22" s="12">
        <f t="shared" si="8"/>
        <v>157.17305112002433</v>
      </c>
      <c r="Q22" s="12">
        <f t="shared" si="8"/>
        <v>199.86672076957862</v>
      </c>
      <c r="R22" s="12">
        <f t="shared" si="8"/>
        <v>248.07067092338556</v>
      </c>
      <c r="S22" s="12">
        <f t="shared" si="8"/>
        <v>265.12197310211462</v>
      </c>
      <c r="T22" s="12">
        <f t="shared" si="8"/>
        <v>267.04595220717442</v>
      </c>
      <c r="U22" s="12">
        <f t="shared" si="8"/>
        <v>283.96642598044008</v>
      </c>
    </row>
    <row r="23" spans="1:21" x14ac:dyDescent="0.25">
      <c r="A23" s="27"/>
      <c r="B23" s="27"/>
      <c r="C23" s="27"/>
      <c r="D23" s="27"/>
      <c r="E23" s="26"/>
      <c r="F23" s="27"/>
      <c r="G23" s="27"/>
      <c r="H23" s="79" t="s">
        <v>59</v>
      </c>
      <c r="I23" s="79"/>
      <c r="J23" s="1">
        <f>(STDEV(J19:J21))</f>
        <v>33.006937597679837</v>
      </c>
      <c r="K23" s="1">
        <f t="shared" ref="K23:U23" si="9">(STDEV(K19:K21))</f>
        <v>36.022630792462138</v>
      </c>
      <c r="L23" s="1">
        <f t="shared" si="9"/>
        <v>25.800839241877533</v>
      </c>
      <c r="M23" s="1">
        <f t="shared" si="9"/>
        <v>21.52185705342437</v>
      </c>
      <c r="N23" s="1">
        <f t="shared" si="9"/>
        <v>11.127233815217826</v>
      </c>
      <c r="O23" s="1">
        <f t="shared" si="9"/>
        <v>15.075767006934878</v>
      </c>
      <c r="P23" s="1">
        <f t="shared" si="9"/>
        <v>52.751058388792906</v>
      </c>
      <c r="Q23" s="1">
        <f t="shared" si="9"/>
        <v>14.590370389533302</v>
      </c>
      <c r="R23" s="1">
        <f t="shared" si="9"/>
        <v>50.360727185187521</v>
      </c>
      <c r="S23" s="1">
        <f t="shared" si="9"/>
        <v>35.98005878013393</v>
      </c>
      <c r="T23" s="1">
        <f t="shared" si="9"/>
        <v>59.889026338428238</v>
      </c>
      <c r="U23" s="1">
        <f t="shared" si="9"/>
        <v>50.621347906040661</v>
      </c>
    </row>
    <row r="24" spans="1:21" x14ac:dyDescent="0.25">
      <c r="A24" s="27"/>
      <c r="B24" s="27"/>
      <c r="C24" s="27"/>
      <c r="D24" s="27"/>
      <c r="E24" s="27"/>
      <c r="F24" s="27"/>
      <c r="G24" s="27"/>
    </row>
    <row r="25" spans="1:21" x14ac:dyDescent="0.25">
      <c r="A25" s="27"/>
      <c r="B25" s="27"/>
      <c r="C25" s="27"/>
      <c r="D25" s="27"/>
      <c r="E25" s="27"/>
      <c r="F25" s="27"/>
      <c r="G25" s="27"/>
    </row>
    <row r="26" spans="1:21" x14ac:dyDescent="0.25">
      <c r="A26" s="27"/>
      <c r="B26" s="27"/>
      <c r="C26" s="27"/>
      <c r="D26" s="27"/>
      <c r="E26" s="27"/>
      <c r="F26" s="27"/>
      <c r="G26" s="27"/>
      <c r="H26" s="55" t="s">
        <v>70</v>
      </c>
      <c r="I26" s="55" t="s">
        <v>71</v>
      </c>
    </row>
    <row r="27" spans="1:21" x14ac:dyDescent="0.25">
      <c r="A27" s="27"/>
      <c r="B27" s="27"/>
      <c r="C27" s="27"/>
      <c r="D27" s="27"/>
      <c r="E27" s="27"/>
      <c r="F27" s="27"/>
      <c r="G27" s="27"/>
      <c r="H27" s="68">
        <v>1.8599999999999998E-2</v>
      </c>
      <c r="I27" s="68">
        <v>3.8800000000000001E-2</v>
      </c>
    </row>
    <row r="28" spans="1:21" x14ac:dyDescent="0.25">
      <c r="H28" s="68">
        <v>2.2100000000000002E-2</v>
      </c>
      <c r="I28" s="68">
        <v>3.9399999999999998E-2</v>
      </c>
    </row>
    <row r="29" spans="1:21" x14ac:dyDescent="0.25">
      <c r="H29" s="68">
        <v>1.4500000000000001E-2</v>
      </c>
      <c r="I29" s="68">
        <v>3.2099999999999997E-2</v>
      </c>
    </row>
  </sheetData>
  <mergeCells count="12">
    <mergeCell ref="H19:H21"/>
    <mergeCell ref="H22:I22"/>
    <mergeCell ref="H12:I12"/>
    <mergeCell ref="H13:I13"/>
    <mergeCell ref="H23:I23"/>
    <mergeCell ref="B4:B5"/>
    <mergeCell ref="J4:U4"/>
    <mergeCell ref="H6:H8"/>
    <mergeCell ref="H9:H11"/>
    <mergeCell ref="H4:I5"/>
    <mergeCell ref="C4:D4"/>
    <mergeCell ref="E4:F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9"/>
  <sheetViews>
    <sheetView workbookViewId="0">
      <selection activeCell="M20" sqref="M20"/>
    </sheetView>
  </sheetViews>
  <sheetFormatPr defaultRowHeight="15" x14ac:dyDescent="0.25"/>
  <cols>
    <col min="2" max="2" width="9.140625" style="3"/>
    <col min="3" max="3" width="3" bestFit="1" customWidth="1"/>
    <col min="4" max="6" width="5.5703125" bestFit="1" customWidth="1"/>
    <col min="7" max="7" width="10.140625" customWidth="1"/>
    <col min="8" max="8" width="8.42578125" customWidth="1"/>
    <col min="9" max="9" width="10.28515625" customWidth="1"/>
    <col min="10" max="10" width="9.5703125" bestFit="1" customWidth="1"/>
    <col min="11" max="11" width="7.28515625" bestFit="1" customWidth="1"/>
    <col min="12" max="12" width="16.7109375" bestFit="1" customWidth="1"/>
    <col min="13" max="13" width="14.42578125" bestFit="1" customWidth="1"/>
  </cols>
  <sheetData>
    <row r="1" spans="2:14" ht="15.75" thickBot="1" x14ac:dyDescent="0.3"/>
    <row r="2" spans="2:14" x14ac:dyDescent="0.25">
      <c r="B2" s="113" t="s">
        <v>40</v>
      </c>
      <c r="C2" s="93" t="s">
        <v>3</v>
      </c>
      <c r="D2" s="94"/>
      <c r="E2" s="94"/>
      <c r="F2" s="94"/>
      <c r="G2" s="94"/>
      <c r="H2" s="94"/>
      <c r="I2" s="94"/>
      <c r="J2" s="94"/>
      <c r="K2" s="95"/>
    </row>
    <row r="3" spans="2:14" x14ac:dyDescent="0.25">
      <c r="B3" s="114"/>
      <c r="C3" s="98" t="s">
        <v>2</v>
      </c>
      <c r="D3" s="78" t="s">
        <v>41</v>
      </c>
      <c r="E3" s="78"/>
      <c r="F3" s="78"/>
      <c r="G3" s="120" t="s">
        <v>46</v>
      </c>
      <c r="H3" s="121"/>
      <c r="I3" s="122"/>
      <c r="J3" s="78" t="s">
        <v>42</v>
      </c>
      <c r="K3" s="107" t="s">
        <v>43</v>
      </c>
    </row>
    <row r="4" spans="2:14" x14ac:dyDescent="0.25">
      <c r="B4" s="114"/>
      <c r="C4" s="101"/>
      <c r="D4" s="56">
        <v>1</v>
      </c>
      <c r="E4" s="56">
        <v>2</v>
      </c>
      <c r="F4" s="56">
        <v>3</v>
      </c>
      <c r="G4" s="56">
        <v>1</v>
      </c>
      <c r="H4" s="56">
        <v>2</v>
      </c>
      <c r="I4" s="56">
        <v>3</v>
      </c>
      <c r="J4" s="78"/>
      <c r="K4" s="107"/>
    </row>
    <row r="5" spans="2:14" x14ac:dyDescent="0.25">
      <c r="B5" s="114"/>
      <c r="C5" s="57">
        <v>0</v>
      </c>
      <c r="D5" s="9">
        <v>1.4200000000000001E-2</v>
      </c>
      <c r="E5" s="9">
        <v>1.21E-2</v>
      </c>
      <c r="F5" s="9">
        <v>2.1700000000000001E-2</v>
      </c>
      <c r="G5" s="6">
        <v>0</v>
      </c>
      <c r="H5" s="6">
        <v>0</v>
      </c>
      <c r="I5" s="6">
        <v>0</v>
      </c>
      <c r="J5" s="6">
        <v>0</v>
      </c>
      <c r="K5" s="18">
        <v>0</v>
      </c>
    </row>
    <row r="6" spans="2:14" x14ac:dyDescent="0.25">
      <c r="B6" s="114"/>
      <c r="C6" s="57">
        <v>2</v>
      </c>
      <c r="D6" s="9">
        <v>1.0800000000000001E-2</v>
      </c>
      <c r="E6" s="9">
        <v>1.0999999999999999E-2</v>
      </c>
      <c r="F6" s="9">
        <v>1.84E-2</v>
      </c>
      <c r="G6" s="12">
        <f>(($D$5-D6)/$D$5)*100</f>
        <v>23.943661971830988</v>
      </c>
      <c r="H6" s="12">
        <f>(($E$5-E6)/$E$5)*100</f>
        <v>9.0909090909090935</v>
      </c>
      <c r="I6" s="12">
        <f>(($F$5-F6)/$F$5)*100</f>
        <v>15.207373271889404</v>
      </c>
      <c r="J6" s="12">
        <f>(AVERAGE(G6:I6))</f>
        <v>16.080648111543162</v>
      </c>
      <c r="K6" s="13">
        <f>(STDEV(G6:I6))</f>
        <v>7.464785579279055</v>
      </c>
    </row>
    <row r="7" spans="2:14" x14ac:dyDescent="0.25">
      <c r="B7" s="114"/>
      <c r="C7" s="57">
        <v>4</v>
      </c>
      <c r="D7" s="9">
        <v>4.4999999999999997E-3</v>
      </c>
      <c r="E7" s="9">
        <v>6.1999999999999998E-3</v>
      </c>
      <c r="F7" s="9">
        <v>1.06E-2</v>
      </c>
      <c r="G7" s="12">
        <f t="shared" ref="G7:G9" si="0">(($D$5-D7)/$D$5)*100</f>
        <v>68.309859154929569</v>
      </c>
      <c r="H7" s="12">
        <f>(($E$5-E7)/$E$5)*100</f>
        <v>48.760330578512395</v>
      </c>
      <c r="I7" s="12">
        <f>(($F$5-F7)/$F$5)*100</f>
        <v>51.152073732718897</v>
      </c>
      <c r="J7" s="12">
        <f>(AVERAGE(G7:I7))</f>
        <v>56.07408782205362</v>
      </c>
      <c r="K7" s="13">
        <f>(STDEV(G7:I7))</f>
        <v>10.663755619468501</v>
      </c>
    </row>
    <row r="8" spans="2:14" x14ac:dyDescent="0.25">
      <c r="B8" s="114"/>
      <c r="C8" s="57">
        <v>8</v>
      </c>
      <c r="D8" s="9">
        <v>1.5E-3</v>
      </c>
      <c r="E8" s="9">
        <v>3.3999999999999998E-3</v>
      </c>
      <c r="F8" s="9">
        <v>7.1000000000000004E-3</v>
      </c>
      <c r="G8" s="12">
        <f t="shared" si="0"/>
        <v>89.436619718309856</v>
      </c>
      <c r="H8" s="12">
        <f>(($E$5-E8)/$E$5)*100</f>
        <v>71.900826446280988</v>
      </c>
      <c r="I8" s="12">
        <f>(($F$5-F8)/$F$5)*100</f>
        <v>67.281105990783402</v>
      </c>
      <c r="J8" s="12">
        <f>(AVERAGE(G8:I8))</f>
        <v>76.206184051791425</v>
      </c>
      <c r="K8" s="13">
        <f>(STDEV(G8:I8))</f>
        <v>11.688403450264184</v>
      </c>
    </row>
    <row r="9" spans="2:14" ht="19.5" thickBot="1" x14ac:dyDescent="0.4">
      <c r="B9" s="115"/>
      <c r="C9" s="46">
        <v>12</v>
      </c>
      <c r="D9" s="11">
        <v>1E-3</v>
      </c>
      <c r="E9" s="11">
        <v>1E-3</v>
      </c>
      <c r="F9" s="11">
        <v>1.8E-3</v>
      </c>
      <c r="G9" s="14">
        <f t="shared" si="0"/>
        <v>92.957746478873233</v>
      </c>
      <c r="H9" s="14">
        <f>(($E$5-E9)/$E$5)*100</f>
        <v>91.735537190082638</v>
      </c>
      <c r="I9" s="14">
        <f>(($F$5-F9)/$F$5)*100</f>
        <v>91.705069124423972</v>
      </c>
      <c r="J9" s="14">
        <f>(AVERAGE(G9:I9))</f>
        <v>92.132784264459943</v>
      </c>
      <c r="K9" s="15">
        <f>(STDEV(G9:I9))</f>
        <v>0.71460063473488367</v>
      </c>
      <c r="M9" s="60" t="s">
        <v>73</v>
      </c>
      <c r="N9" t="s">
        <v>74</v>
      </c>
    </row>
    <row r="10" spans="2:14" ht="18.75" x14ac:dyDescent="0.35">
      <c r="G10" s="17"/>
      <c r="M10" s="60" t="s">
        <v>72</v>
      </c>
      <c r="N10" t="s">
        <v>75</v>
      </c>
    </row>
    <row r="11" spans="2:14" ht="15.75" thickBot="1" x14ac:dyDescent="0.3">
      <c r="G11" s="16"/>
    </row>
    <row r="12" spans="2:14" x14ac:dyDescent="0.25">
      <c r="B12" s="116" t="s">
        <v>0</v>
      </c>
      <c r="C12" s="119" t="s">
        <v>3</v>
      </c>
      <c r="D12" s="105"/>
      <c r="E12" s="105"/>
      <c r="F12" s="105"/>
      <c r="G12" s="105"/>
      <c r="H12" s="105"/>
      <c r="I12" s="105"/>
      <c r="J12" s="105"/>
      <c r="K12" s="106"/>
    </row>
    <row r="13" spans="2:14" x14ac:dyDescent="0.25">
      <c r="B13" s="117"/>
      <c r="C13" s="88" t="s">
        <v>2</v>
      </c>
      <c r="D13" s="78" t="s">
        <v>41</v>
      </c>
      <c r="E13" s="78"/>
      <c r="F13" s="78"/>
      <c r="G13" s="120" t="s">
        <v>46</v>
      </c>
      <c r="H13" s="121"/>
      <c r="I13" s="122"/>
      <c r="J13" s="78" t="s">
        <v>42</v>
      </c>
      <c r="K13" s="107" t="s">
        <v>43</v>
      </c>
    </row>
    <row r="14" spans="2:14" x14ac:dyDescent="0.25">
      <c r="B14" s="117"/>
      <c r="C14" s="109"/>
      <c r="D14" s="56">
        <v>1</v>
      </c>
      <c r="E14" s="56">
        <v>2</v>
      </c>
      <c r="F14" s="56">
        <v>3</v>
      </c>
      <c r="G14" s="56">
        <v>1</v>
      </c>
      <c r="H14" s="56">
        <v>2</v>
      </c>
      <c r="I14" s="56">
        <v>3</v>
      </c>
      <c r="J14" s="78"/>
      <c r="K14" s="107"/>
    </row>
    <row r="15" spans="2:14" x14ac:dyDescent="0.25">
      <c r="B15" s="117"/>
      <c r="C15" s="57">
        <v>0</v>
      </c>
      <c r="D15" s="9">
        <v>2.4899999999999999E-2</v>
      </c>
      <c r="E15" s="9">
        <v>1.32E-2</v>
      </c>
      <c r="F15" s="9">
        <v>2.12E-2</v>
      </c>
      <c r="G15" s="6">
        <v>0</v>
      </c>
      <c r="H15" s="6">
        <v>0</v>
      </c>
      <c r="I15" s="6">
        <v>0</v>
      </c>
      <c r="J15" s="6">
        <v>0</v>
      </c>
      <c r="K15" s="18">
        <v>0</v>
      </c>
    </row>
    <row r="16" spans="2:14" x14ac:dyDescent="0.25">
      <c r="B16" s="117"/>
      <c r="C16" s="57">
        <v>2</v>
      </c>
      <c r="D16" s="9">
        <v>2.1899999999999999E-2</v>
      </c>
      <c r="E16" s="9">
        <v>1.24E-2</v>
      </c>
      <c r="F16" s="9">
        <v>1.7999999999999999E-2</v>
      </c>
      <c r="G16" s="12">
        <f>(($D$15-D16)/$D$15)*100</f>
        <v>12.048192771084334</v>
      </c>
      <c r="H16" s="12">
        <f>(($E$15-E16)/$E$15)*100</f>
        <v>6.0606060606060632</v>
      </c>
      <c r="I16" s="12">
        <f>(($F$15-F16)/$F$15)*100</f>
        <v>15.094339622641517</v>
      </c>
      <c r="J16" s="12">
        <f>(AVERAGE(G16:I16))</f>
        <v>11.067712818110637</v>
      </c>
      <c r="K16" s="13">
        <f>(STDEV(G16:I16))</f>
        <v>4.5959864252518106</v>
      </c>
    </row>
    <row r="17" spans="2:11" x14ac:dyDescent="0.25">
      <c r="B17" s="117"/>
      <c r="C17" s="57">
        <v>4</v>
      </c>
      <c r="D17" s="9">
        <v>1.77E-2</v>
      </c>
      <c r="E17" s="9">
        <v>1.1299999999999999E-2</v>
      </c>
      <c r="F17" s="9">
        <v>1.9099999999999999E-2</v>
      </c>
      <c r="G17" s="12">
        <f>(($D$15-D17)/$D$15)*100</f>
        <v>28.915662650602403</v>
      </c>
      <c r="H17" s="12">
        <f>(($E$15-E17)/$E$15)*100</f>
        <v>14.393939393939398</v>
      </c>
      <c r="I17" s="12">
        <f>(($F$15-F17)/$F$15)*100</f>
        <v>9.9056603773584975</v>
      </c>
      <c r="J17" s="12">
        <f>(AVERAGE(G17:I17))</f>
        <v>17.738420807300102</v>
      </c>
      <c r="K17" s="13">
        <f>(STDEV(G17:I17))</f>
        <v>9.9365091229475961</v>
      </c>
    </row>
    <row r="18" spans="2:11" x14ac:dyDescent="0.25">
      <c r="B18" s="117"/>
      <c r="C18" s="57">
        <v>8</v>
      </c>
      <c r="D18" s="9">
        <v>1.7899999999999999E-2</v>
      </c>
      <c r="E18" s="9">
        <v>9.1000000000000004E-3</v>
      </c>
      <c r="F18" s="9">
        <v>1.37E-2</v>
      </c>
      <c r="G18" s="12">
        <f>(($D$15-D18)/$D$15)*100</f>
        <v>28.112449799196789</v>
      </c>
      <c r="H18" s="12">
        <f>(($E$15-E18)/$E$15)*100</f>
        <v>31.060606060606055</v>
      </c>
      <c r="I18" s="12">
        <f>(($F$15-F18)/$F$15)*100</f>
        <v>35.377358490566039</v>
      </c>
      <c r="J18" s="12">
        <f>(AVERAGE(G18:I18))</f>
        <v>31.516804783456294</v>
      </c>
      <c r="K18" s="13">
        <f>(STDEV(G18:I18))</f>
        <v>3.6538763703128705</v>
      </c>
    </row>
    <row r="19" spans="2:11" ht="15.75" thickBot="1" x14ac:dyDescent="0.3">
      <c r="B19" s="118"/>
      <c r="C19" s="46">
        <v>12</v>
      </c>
      <c r="D19" s="11">
        <v>8.8000000000000005E-3</v>
      </c>
      <c r="E19" s="11">
        <v>3.7000000000000002E-3</v>
      </c>
      <c r="F19" s="11">
        <v>7.9000000000000008E-3</v>
      </c>
      <c r="G19" s="14">
        <f>(($D$15-D19)/$D$15)*100</f>
        <v>64.658634538152597</v>
      </c>
      <c r="H19" s="14">
        <f>(($E$15-E19)/$E$15)*100</f>
        <v>71.969696969696969</v>
      </c>
      <c r="I19" s="14">
        <f>(($F$15-F19)/$F$15)*100</f>
        <v>62.735849056603769</v>
      </c>
      <c r="J19" s="14">
        <f>(AVERAGE(G19:I19))</f>
        <v>66.454726854817778</v>
      </c>
      <c r="K19" s="15">
        <f>(STDEV(G19:I19))</f>
        <v>4.8719038915009074</v>
      </c>
    </row>
  </sheetData>
  <mergeCells count="14">
    <mergeCell ref="B2:B9"/>
    <mergeCell ref="B12:B19"/>
    <mergeCell ref="C12:K12"/>
    <mergeCell ref="C13:C14"/>
    <mergeCell ref="G13:I13"/>
    <mergeCell ref="J13:J14"/>
    <mergeCell ref="K13:K14"/>
    <mergeCell ref="G3:I3"/>
    <mergeCell ref="J3:J4"/>
    <mergeCell ref="K3:K4"/>
    <mergeCell ref="C2:K2"/>
    <mergeCell ref="C3:C4"/>
    <mergeCell ref="D13:F13"/>
    <mergeCell ref="D3:F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0"/>
  <sheetViews>
    <sheetView workbookViewId="0">
      <selection activeCell="N22" sqref="N22"/>
    </sheetView>
  </sheetViews>
  <sheetFormatPr defaultRowHeight="15" x14ac:dyDescent="0.25"/>
  <cols>
    <col min="3" max="3" width="3" bestFit="1" customWidth="1"/>
    <col min="7" max="7" width="8.28515625" customWidth="1"/>
    <col min="8" max="8" width="6.42578125" customWidth="1"/>
    <col min="9" max="9" width="7.42578125" customWidth="1"/>
    <col min="10" max="10" width="10" bestFit="1" customWidth="1"/>
    <col min="11" max="11" width="7.7109375" bestFit="1" customWidth="1"/>
  </cols>
  <sheetData>
    <row r="2" spans="2:14" ht="15.75" thickBot="1" x14ac:dyDescent="0.3"/>
    <row r="3" spans="2:14" x14ac:dyDescent="0.25">
      <c r="B3" s="108" t="s">
        <v>40</v>
      </c>
      <c r="C3" s="119" t="s">
        <v>2</v>
      </c>
      <c r="D3" s="124" t="s">
        <v>5</v>
      </c>
      <c r="E3" s="94"/>
      <c r="F3" s="94"/>
      <c r="G3" s="94"/>
      <c r="H3" s="94"/>
      <c r="I3" s="94"/>
      <c r="J3" s="94"/>
      <c r="K3" s="95"/>
    </row>
    <row r="4" spans="2:14" x14ac:dyDescent="0.25">
      <c r="B4" s="89"/>
      <c r="C4" s="122"/>
      <c r="D4" s="78" t="s">
        <v>41</v>
      </c>
      <c r="E4" s="78"/>
      <c r="F4" s="78"/>
      <c r="G4" s="120" t="s">
        <v>46</v>
      </c>
      <c r="H4" s="121"/>
      <c r="I4" s="122"/>
      <c r="J4" s="78" t="s">
        <v>44</v>
      </c>
      <c r="K4" s="107" t="s">
        <v>45</v>
      </c>
    </row>
    <row r="5" spans="2:14" x14ac:dyDescent="0.25">
      <c r="B5" s="89"/>
      <c r="C5" s="122"/>
      <c r="D5" s="56">
        <v>1</v>
      </c>
      <c r="E5" s="56">
        <v>2</v>
      </c>
      <c r="F5" s="56">
        <v>3</v>
      </c>
      <c r="G5" s="56">
        <v>1</v>
      </c>
      <c r="H5" s="56">
        <v>2</v>
      </c>
      <c r="I5" s="56">
        <v>3</v>
      </c>
      <c r="J5" s="78"/>
      <c r="K5" s="107"/>
    </row>
    <row r="6" spans="2:14" x14ac:dyDescent="0.25">
      <c r="B6" s="89"/>
      <c r="C6" s="57">
        <v>0</v>
      </c>
      <c r="D6" s="9">
        <v>1.9300000000000001E-2</v>
      </c>
      <c r="E6" s="9">
        <v>1.0500000000000001E-2</v>
      </c>
      <c r="F6" s="9">
        <v>1.4500000000000001E-2</v>
      </c>
      <c r="G6" s="6">
        <v>0</v>
      </c>
      <c r="H6" s="6">
        <v>0</v>
      </c>
      <c r="I6" s="6">
        <v>0</v>
      </c>
      <c r="J6" s="6">
        <v>0</v>
      </c>
      <c r="K6" s="18">
        <v>0</v>
      </c>
    </row>
    <row r="7" spans="2:14" x14ac:dyDescent="0.25">
      <c r="B7" s="89"/>
      <c r="C7" s="57">
        <v>2</v>
      </c>
      <c r="D7" s="9">
        <v>1.52E-2</v>
      </c>
      <c r="E7" s="9">
        <v>1.03E-2</v>
      </c>
      <c r="F7" s="9">
        <v>1.3299999999999999E-2</v>
      </c>
      <c r="G7" s="12">
        <f>(($D$6-D7)/$D$6)*100</f>
        <v>21.243523316062181</v>
      </c>
      <c r="H7" s="12">
        <f>(($E6-E7)/$E6)*100</f>
        <v>1.9047619047619098</v>
      </c>
      <c r="I7" s="12">
        <f>(($F6-F7)/$F6)*100</f>
        <v>8.2758620689655267</v>
      </c>
      <c r="J7" s="12">
        <f>(AVERAGE(G7:I7))</f>
        <v>10.474715763263205</v>
      </c>
      <c r="K7" s="13">
        <f>(STDEV(G7:I7))</f>
        <v>9.8551073767612518</v>
      </c>
    </row>
    <row r="8" spans="2:14" x14ac:dyDescent="0.25">
      <c r="B8" s="89"/>
      <c r="C8" s="57">
        <v>4</v>
      </c>
      <c r="D8" s="9">
        <v>1.66E-2</v>
      </c>
      <c r="E8" s="9">
        <v>9.1000000000000004E-3</v>
      </c>
      <c r="F8" s="9">
        <v>1.17E-2</v>
      </c>
      <c r="G8" s="12">
        <f t="shared" ref="G8:G15" si="0">(($D$6-D8)/$D$6)*100</f>
        <v>13.989637305699487</v>
      </c>
      <c r="H8" s="12">
        <f>(($E6-E8)/$E6)*100</f>
        <v>13.333333333333334</v>
      </c>
      <c r="I8" s="12">
        <f>(($F6-F8)/$F6)*100</f>
        <v>19.31034482758621</v>
      </c>
      <c r="J8" s="12">
        <f t="shared" ref="J8:J15" si="1">(AVERAGE(G8:I8))</f>
        <v>15.544438488873011</v>
      </c>
      <c r="K8" s="13">
        <f>(STDEV(G8:I8))</f>
        <v>3.2778379520662879</v>
      </c>
    </row>
    <row r="9" spans="2:14" x14ac:dyDescent="0.25">
      <c r="B9" s="89"/>
      <c r="C9" s="57">
        <v>8</v>
      </c>
      <c r="D9" s="9">
        <v>1.47E-2</v>
      </c>
      <c r="E9" s="9">
        <v>6.7999999999999996E-3</v>
      </c>
      <c r="F9" s="9">
        <v>1.03E-2</v>
      </c>
      <c r="G9" s="12">
        <f t="shared" si="0"/>
        <v>23.834196891191716</v>
      </c>
      <c r="H9" s="12">
        <f>(($E6-E9)/$E6)*100</f>
        <v>35.238095238095248</v>
      </c>
      <c r="I9" s="12">
        <f>(($F6-F9)/$F6)*100</f>
        <v>28.965517241379313</v>
      </c>
      <c r="J9" s="12">
        <f t="shared" si="1"/>
        <v>29.345936456888762</v>
      </c>
      <c r="K9" s="13">
        <f>(STDEV(G9:I9))</f>
        <v>5.7114589608324735</v>
      </c>
    </row>
    <row r="10" spans="2:14" ht="18.75" x14ac:dyDescent="0.35">
      <c r="B10" s="89"/>
      <c r="C10" s="57">
        <v>12</v>
      </c>
      <c r="D10" s="9">
        <v>1.11E-2</v>
      </c>
      <c r="E10" s="9">
        <v>4.7000000000000002E-3</v>
      </c>
      <c r="F10" s="9">
        <v>7.9000000000000008E-3</v>
      </c>
      <c r="G10" s="12">
        <f t="shared" si="0"/>
        <v>42.487046632124354</v>
      </c>
      <c r="H10" s="12">
        <f>(($E6-E10)/$E6)*100</f>
        <v>55.238095238095241</v>
      </c>
      <c r="I10" s="12">
        <f>(($F6-F10)/$F6)*100</f>
        <v>45.517241379310342</v>
      </c>
      <c r="J10" s="12">
        <f t="shared" si="1"/>
        <v>47.747461083176653</v>
      </c>
      <c r="K10" s="13">
        <f>(STDEV(G10:I10))</f>
        <v>6.6616604599448417</v>
      </c>
      <c r="M10" s="60" t="s">
        <v>73</v>
      </c>
      <c r="N10" t="s">
        <v>74</v>
      </c>
    </row>
    <row r="11" spans="2:14" ht="18.75" x14ac:dyDescent="0.35">
      <c r="B11" s="89"/>
      <c r="C11" s="57">
        <v>16</v>
      </c>
      <c r="D11" s="9">
        <v>1.0500000000000001E-2</v>
      </c>
      <c r="E11" s="9">
        <v>4.4999999999999997E-3</v>
      </c>
      <c r="F11" s="9">
        <v>7.6E-3</v>
      </c>
      <c r="G11" s="12">
        <f t="shared" si="0"/>
        <v>45.595854922279791</v>
      </c>
      <c r="H11" s="12">
        <f>(($E6-E11)/$E6)*100</f>
        <v>57.142857142857153</v>
      </c>
      <c r="I11" s="12">
        <f>(($F6-F11)/$F6)*100</f>
        <v>47.586206896551722</v>
      </c>
      <c r="J11" s="12">
        <f t="shared" si="1"/>
        <v>50.108306320562889</v>
      </c>
      <c r="K11" s="13">
        <f t="shared" ref="K11:K15" si="2">(STDEV(G11:I11))</f>
        <v>6.1728481431955524</v>
      </c>
      <c r="M11" s="60" t="s">
        <v>72</v>
      </c>
      <c r="N11" t="s">
        <v>75</v>
      </c>
    </row>
    <row r="12" spans="2:14" x14ac:dyDescent="0.25">
      <c r="B12" s="89"/>
      <c r="C12" s="57">
        <v>20</v>
      </c>
      <c r="D12" s="9">
        <v>9.1999999999999998E-3</v>
      </c>
      <c r="E12" s="9">
        <v>4.8999999999999998E-3</v>
      </c>
      <c r="F12" s="9">
        <v>7.0000000000000001E-3</v>
      </c>
      <c r="G12" s="12">
        <f t="shared" si="0"/>
        <v>52.331606217616589</v>
      </c>
      <c r="H12" s="12">
        <f>(($E6-E12)/$E6)*100</f>
        <v>53.333333333333336</v>
      </c>
      <c r="I12" s="12">
        <f>(($F6-F12)/$F6)*100</f>
        <v>51.724137931034484</v>
      </c>
      <c r="J12" s="12">
        <f t="shared" si="1"/>
        <v>52.463025827328131</v>
      </c>
      <c r="K12" s="13">
        <f t="shared" si="2"/>
        <v>0.81260740585936853</v>
      </c>
    </row>
    <row r="13" spans="2:14" x14ac:dyDescent="0.25">
      <c r="B13" s="89"/>
      <c r="C13" s="57">
        <v>24</v>
      </c>
      <c r="D13" s="9">
        <v>8.5000000000000006E-3</v>
      </c>
      <c r="E13" s="9">
        <v>3.7000000000000002E-3</v>
      </c>
      <c r="F13" s="9">
        <v>6.4999999999999997E-3</v>
      </c>
      <c r="G13" s="12">
        <f t="shared" si="0"/>
        <v>55.958549222797927</v>
      </c>
      <c r="H13" s="12">
        <f>(($E6-E13)/$E6)*100</f>
        <v>64.761904761904759</v>
      </c>
      <c r="I13" s="12">
        <f>(($F6-F13)/$F6)*100</f>
        <v>55.172413793103445</v>
      </c>
      <c r="J13" s="12">
        <f t="shared" si="1"/>
        <v>58.630955925935382</v>
      </c>
      <c r="K13" s="13">
        <f t="shared" si="2"/>
        <v>5.3240870062773178</v>
      </c>
    </row>
    <row r="14" spans="2:14" x14ac:dyDescent="0.25">
      <c r="B14" s="89"/>
      <c r="C14" s="57">
        <v>28</v>
      </c>
      <c r="D14" s="9">
        <v>8.5000000000000006E-3</v>
      </c>
      <c r="E14" s="9">
        <v>4.1999999999999997E-3</v>
      </c>
      <c r="F14" s="9">
        <v>6.0000000000000001E-3</v>
      </c>
      <c r="G14" s="12">
        <f t="shared" si="0"/>
        <v>55.958549222797927</v>
      </c>
      <c r="H14" s="12">
        <f>(($E6-E14)/$E6)*100</f>
        <v>60.000000000000007</v>
      </c>
      <c r="I14" s="12">
        <f>(($F6-F14)/$F6)*100</f>
        <v>58.62068965517242</v>
      </c>
      <c r="J14" s="12">
        <f t="shared" si="1"/>
        <v>58.193079625990116</v>
      </c>
      <c r="K14" s="13">
        <f t="shared" si="2"/>
        <v>2.0543779712919892</v>
      </c>
    </row>
    <row r="15" spans="2:14" ht="15.75" thickBot="1" x14ac:dyDescent="0.3">
      <c r="B15" s="90"/>
      <c r="C15" s="46">
        <v>32</v>
      </c>
      <c r="D15" s="11">
        <v>8.3999999999999995E-3</v>
      </c>
      <c r="E15" s="11">
        <v>3.8999999999999998E-3</v>
      </c>
      <c r="F15" s="11">
        <v>6.3E-3</v>
      </c>
      <c r="G15" s="14">
        <f t="shared" si="0"/>
        <v>56.476683937823836</v>
      </c>
      <c r="H15" s="14">
        <f>(($E6-E15)/$E6)*100</f>
        <v>62.857142857142854</v>
      </c>
      <c r="I15" s="14">
        <f>(($F6-F15)/$F6)*100</f>
        <v>56.551724137931039</v>
      </c>
      <c r="J15" s="14">
        <f t="shared" si="1"/>
        <v>58.628516977632579</v>
      </c>
      <c r="K15" s="15">
        <f t="shared" si="2"/>
        <v>3.6622896362188619</v>
      </c>
    </row>
    <row r="17" spans="2:11" ht="15.75" thickBot="1" x14ac:dyDescent="0.3"/>
    <row r="18" spans="2:11" x14ac:dyDescent="0.25">
      <c r="B18" s="123" t="s">
        <v>0</v>
      </c>
      <c r="C18" s="84" t="s">
        <v>5</v>
      </c>
      <c r="D18" s="84"/>
      <c r="E18" s="84"/>
      <c r="F18" s="84"/>
      <c r="G18" s="84"/>
      <c r="H18" s="84"/>
      <c r="I18" s="84"/>
      <c r="J18" s="84"/>
      <c r="K18" s="85"/>
    </row>
    <row r="19" spans="2:11" x14ac:dyDescent="0.25">
      <c r="B19" s="91"/>
      <c r="C19" s="78" t="s">
        <v>2</v>
      </c>
      <c r="D19" s="78" t="s">
        <v>41</v>
      </c>
      <c r="E19" s="78"/>
      <c r="F19" s="78"/>
      <c r="G19" s="120" t="s">
        <v>46</v>
      </c>
      <c r="H19" s="121"/>
      <c r="I19" s="122"/>
      <c r="J19" s="78" t="s">
        <v>44</v>
      </c>
      <c r="K19" s="107" t="s">
        <v>45</v>
      </c>
    </row>
    <row r="20" spans="2:11" x14ac:dyDescent="0.25">
      <c r="B20" s="91"/>
      <c r="C20" s="78"/>
      <c r="D20" s="56">
        <v>1</v>
      </c>
      <c r="E20" s="56">
        <v>2</v>
      </c>
      <c r="F20" s="56">
        <v>3</v>
      </c>
      <c r="G20" s="56">
        <v>1</v>
      </c>
      <c r="H20" s="56">
        <v>2</v>
      </c>
      <c r="I20" s="56">
        <v>3</v>
      </c>
      <c r="J20" s="78"/>
      <c r="K20" s="107"/>
    </row>
    <row r="21" spans="2:11" x14ac:dyDescent="0.25">
      <c r="B21" s="91"/>
      <c r="C21" s="47">
        <v>0</v>
      </c>
      <c r="D21" s="9">
        <v>0.03</v>
      </c>
      <c r="E21" s="9">
        <v>1.6199999999999999E-2</v>
      </c>
      <c r="F21" s="9">
        <v>2.3699999999999999E-2</v>
      </c>
      <c r="G21" s="6">
        <v>0</v>
      </c>
      <c r="H21" s="6">
        <v>0</v>
      </c>
      <c r="I21" s="6">
        <v>0</v>
      </c>
      <c r="J21" s="6">
        <v>0</v>
      </c>
      <c r="K21" s="18">
        <v>0</v>
      </c>
    </row>
    <row r="22" spans="2:11" x14ac:dyDescent="0.25">
      <c r="B22" s="91"/>
      <c r="C22" s="47">
        <v>2</v>
      </c>
      <c r="D22" s="9">
        <v>2.4E-2</v>
      </c>
      <c r="E22" s="9">
        <v>1.52E-2</v>
      </c>
      <c r="F22" s="9">
        <v>2.1999999999999999E-2</v>
      </c>
      <c r="G22" s="12">
        <f>(($D$21-D22)/$D$21)*100</f>
        <v>19.999999999999996</v>
      </c>
      <c r="H22" s="12">
        <f>(($E$21-E22)/$E$21)*100</f>
        <v>6.1728395061728341</v>
      </c>
      <c r="I22" s="12">
        <f>(($F21-F22)/$F21)*100</f>
        <v>7.1729957805907185</v>
      </c>
      <c r="J22" s="12">
        <f>(AVERAGE(G22:I22))</f>
        <v>11.115278428921185</v>
      </c>
      <c r="K22" s="13">
        <f>(STDEV(G22:I22))</f>
        <v>7.7106281320012586</v>
      </c>
    </row>
    <row r="23" spans="2:11" x14ac:dyDescent="0.25">
      <c r="B23" s="91"/>
      <c r="C23" s="47">
        <v>4</v>
      </c>
      <c r="D23" s="9">
        <v>2.2800000000000001E-2</v>
      </c>
      <c r="E23" s="9">
        <v>1.32E-2</v>
      </c>
      <c r="F23" s="9">
        <v>1.9E-2</v>
      </c>
      <c r="G23" s="12">
        <f t="shared" ref="G23:G30" si="3">(($D$21-D23)/$D$21)*100</f>
        <v>23.999999999999993</v>
      </c>
      <c r="H23" s="12">
        <f t="shared" ref="H23:H30" si="4">(($E$21-E23)/$E$21)*100</f>
        <v>18.518518518518515</v>
      </c>
      <c r="I23" s="12">
        <f>(($F21-F23)/$F21)*100</f>
        <v>19.831223628691983</v>
      </c>
      <c r="J23" s="12">
        <f>(AVERAGE(G23:I23))</f>
        <v>20.783247382403498</v>
      </c>
      <c r="K23" s="13">
        <f>(STDEV(G23:I23))</f>
        <v>2.8620659895745417</v>
      </c>
    </row>
    <row r="24" spans="2:11" x14ac:dyDescent="0.25">
      <c r="B24" s="91"/>
      <c r="C24" s="47">
        <v>8</v>
      </c>
      <c r="D24" s="9">
        <v>1.8200000000000001E-2</v>
      </c>
      <c r="E24" s="9">
        <v>1.0800000000000001E-2</v>
      </c>
      <c r="F24" s="9">
        <v>1.8599999999999998E-2</v>
      </c>
      <c r="G24" s="12">
        <f t="shared" si="3"/>
        <v>39.333333333333329</v>
      </c>
      <c r="H24" s="12">
        <f t="shared" si="4"/>
        <v>33.333333333333329</v>
      </c>
      <c r="I24" s="12">
        <f>(($F21-F24)/$F21)*100</f>
        <v>21.518987341772156</v>
      </c>
      <c r="J24" s="12">
        <f>(AVERAGE(G24:I24))</f>
        <v>31.395218002812939</v>
      </c>
      <c r="K24" s="13">
        <f>(STDEV(G24:H24))</f>
        <v>4.2426406871192848</v>
      </c>
    </row>
    <row r="25" spans="2:11" x14ac:dyDescent="0.25">
      <c r="B25" s="91"/>
      <c r="C25" s="47">
        <v>12</v>
      </c>
      <c r="D25" s="9">
        <v>1.83E-2</v>
      </c>
      <c r="E25" s="9">
        <v>7.6E-3</v>
      </c>
      <c r="F25" s="9">
        <v>1.4200000000000001E-2</v>
      </c>
      <c r="G25" s="12">
        <f t="shared" si="3"/>
        <v>38.999999999999993</v>
      </c>
      <c r="H25" s="12">
        <f t="shared" si="4"/>
        <v>53.086419753086425</v>
      </c>
      <c r="I25" s="12">
        <f>(($F21-F25)/$F21)*100</f>
        <v>40.084388185653999</v>
      </c>
      <c r="J25" s="12">
        <f>(AVERAGE(G25:I25))</f>
        <v>44.056935979580139</v>
      </c>
      <c r="K25" s="13">
        <f>(STDEV(G25:I25))</f>
        <v>7.8385366839931923</v>
      </c>
    </row>
    <row r="26" spans="2:11" x14ac:dyDescent="0.25">
      <c r="B26" s="91"/>
      <c r="C26" s="47">
        <v>16</v>
      </c>
      <c r="D26" s="9">
        <v>1.7500000000000002E-2</v>
      </c>
      <c r="E26" s="9">
        <v>7.6E-3</v>
      </c>
      <c r="F26" s="9">
        <v>1.1900000000000001E-2</v>
      </c>
      <c r="G26" s="12">
        <f t="shared" si="3"/>
        <v>41.666666666666657</v>
      </c>
      <c r="H26" s="12">
        <f t="shared" si="4"/>
        <v>53.086419753086425</v>
      </c>
      <c r="I26" s="12">
        <f>(($F21-F26)/$F21)*100</f>
        <v>49.789029535864969</v>
      </c>
      <c r="J26" s="12">
        <f t="shared" ref="J26:J30" si="5">(AVERAGE(G26:I26))</f>
        <v>48.180705318539346</v>
      </c>
      <c r="K26" s="13">
        <f t="shared" ref="K26:K30" si="6">(STDEV(G26:I26))</f>
        <v>5.8773055246197217</v>
      </c>
    </row>
    <row r="27" spans="2:11" x14ac:dyDescent="0.25">
      <c r="B27" s="91"/>
      <c r="C27" s="47">
        <v>20</v>
      </c>
      <c r="D27" s="9">
        <v>1.77E-2</v>
      </c>
      <c r="E27" s="9">
        <v>7.4999999999999997E-3</v>
      </c>
      <c r="F27" s="9">
        <v>1.2E-2</v>
      </c>
      <c r="G27" s="12">
        <f t="shared" si="3"/>
        <v>41</v>
      </c>
      <c r="H27" s="12">
        <f t="shared" si="4"/>
        <v>53.703703703703695</v>
      </c>
      <c r="I27" s="12">
        <f>(($F21-F27)/$F21)*100</f>
        <v>49.367088607594937</v>
      </c>
      <c r="J27" s="12">
        <f t="shared" si="5"/>
        <v>48.023597437099546</v>
      </c>
      <c r="K27" s="13">
        <f>(STDEV(G27:I27))</f>
        <v>6.4575342307859422</v>
      </c>
    </row>
    <row r="28" spans="2:11" x14ac:dyDescent="0.25">
      <c r="B28" s="91"/>
      <c r="C28" s="47">
        <v>24</v>
      </c>
      <c r="D28" s="9">
        <v>1.7500000000000002E-2</v>
      </c>
      <c r="E28" s="9">
        <v>7.3000000000000001E-3</v>
      </c>
      <c r="F28" s="19">
        <v>1.11E-2</v>
      </c>
      <c r="G28" s="12">
        <f t="shared" si="3"/>
        <v>41.666666666666657</v>
      </c>
      <c r="H28" s="12">
        <f t="shared" si="4"/>
        <v>54.938271604938258</v>
      </c>
      <c r="I28" s="12">
        <f>(($F21-F28)/$F21)*100</f>
        <v>53.164556962025308</v>
      </c>
      <c r="J28" s="12">
        <f t="shared" si="5"/>
        <v>49.923165077876739</v>
      </c>
      <c r="K28" s="13">
        <f>(STDEV(G28:I28))</f>
        <v>7.2051259821989033</v>
      </c>
    </row>
    <row r="29" spans="2:11" x14ac:dyDescent="0.25">
      <c r="B29" s="91"/>
      <c r="C29" s="47">
        <v>28</v>
      </c>
      <c r="D29" s="19">
        <v>1.7100000000000001E-2</v>
      </c>
      <c r="E29" s="9">
        <v>7.0000000000000001E-3</v>
      </c>
      <c r="F29" s="9">
        <v>1.21E-2</v>
      </c>
      <c r="G29" s="12">
        <f t="shared" si="3"/>
        <v>42.999999999999993</v>
      </c>
      <c r="H29" s="12">
        <f t="shared" si="4"/>
        <v>56.79012345679012</v>
      </c>
      <c r="I29" s="12">
        <f>(($F21-F29)/$F21)*100</f>
        <v>48.945147679324897</v>
      </c>
      <c r="J29" s="12">
        <f t="shared" si="5"/>
        <v>49.578423712038337</v>
      </c>
      <c r="K29" s="13">
        <f t="shared" si="6"/>
        <v>6.9168385219393862</v>
      </c>
    </row>
    <row r="30" spans="2:11" ht="15.75" thickBot="1" x14ac:dyDescent="0.3">
      <c r="B30" s="92"/>
      <c r="C30" s="58">
        <v>32</v>
      </c>
      <c r="D30" s="59">
        <v>1.7999999999999999E-2</v>
      </c>
      <c r="E30" s="11">
        <v>7.0000000000000001E-3</v>
      </c>
      <c r="F30" s="11">
        <v>1.2999999999999999E-2</v>
      </c>
      <c r="G30" s="14">
        <f t="shared" si="3"/>
        <v>40</v>
      </c>
      <c r="H30" s="14">
        <f t="shared" si="4"/>
        <v>56.79012345679012</v>
      </c>
      <c r="I30" s="14">
        <f>(($F21-F30)/$F21)*100</f>
        <v>45.147679324894511</v>
      </c>
      <c r="J30" s="14">
        <f t="shared" si="5"/>
        <v>47.31260092722821</v>
      </c>
      <c r="K30" s="15">
        <f t="shared" si="6"/>
        <v>8.6018733762914366</v>
      </c>
    </row>
  </sheetData>
  <mergeCells count="14">
    <mergeCell ref="B3:B15"/>
    <mergeCell ref="B18:B30"/>
    <mergeCell ref="C19:C20"/>
    <mergeCell ref="C18:K18"/>
    <mergeCell ref="D3:K3"/>
    <mergeCell ref="G19:I19"/>
    <mergeCell ref="J19:J20"/>
    <mergeCell ref="K19:K20"/>
    <mergeCell ref="D19:F19"/>
    <mergeCell ref="G4:I4"/>
    <mergeCell ref="J4:J5"/>
    <mergeCell ref="K4:K5"/>
    <mergeCell ref="C3:C5"/>
    <mergeCell ref="D4:F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7"/>
  <sheetViews>
    <sheetView topLeftCell="A10" zoomScaleNormal="100" workbookViewId="0">
      <selection activeCell="P20" sqref="P20"/>
    </sheetView>
  </sheetViews>
  <sheetFormatPr defaultRowHeight="15" x14ac:dyDescent="0.25"/>
  <cols>
    <col min="2" max="2" width="23.5703125" bestFit="1" customWidth="1"/>
    <col min="3" max="5" width="6" bestFit="1" customWidth="1"/>
    <col min="6" max="6" width="8.28515625" bestFit="1" customWidth="1"/>
    <col min="7" max="7" width="7.42578125" bestFit="1" customWidth="1"/>
    <col min="8" max="8" width="8.28515625" bestFit="1" customWidth="1"/>
  </cols>
  <sheetData>
    <row r="1" spans="2:8" ht="15.75" thickBot="1" x14ac:dyDescent="0.3"/>
    <row r="2" spans="2:8" x14ac:dyDescent="0.25">
      <c r="B2" s="125" t="s">
        <v>36</v>
      </c>
      <c r="C2" s="126"/>
      <c r="D2" s="126"/>
      <c r="E2" s="126"/>
      <c r="F2" s="126"/>
      <c r="G2" s="126"/>
      <c r="H2" s="112"/>
    </row>
    <row r="3" spans="2:8" x14ac:dyDescent="0.25">
      <c r="B3" s="88" t="s">
        <v>31</v>
      </c>
      <c r="C3" s="120" t="s">
        <v>37</v>
      </c>
      <c r="D3" s="121"/>
      <c r="E3" s="122"/>
      <c r="F3" s="86" t="s">
        <v>32</v>
      </c>
      <c r="G3" s="86" t="s">
        <v>33</v>
      </c>
      <c r="H3" s="81" t="s">
        <v>34</v>
      </c>
    </row>
    <row r="4" spans="2:8" x14ac:dyDescent="0.25">
      <c r="B4" s="109"/>
      <c r="C4" s="45">
        <v>1</v>
      </c>
      <c r="D4" s="45">
        <v>2</v>
      </c>
      <c r="E4" s="45">
        <v>3</v>
      </c>
      <c r="F4" s="87"/>
      <c r="G4" s="87"/>
      <c r="H4" s="82"/>
    </row>
    <row r="5" spans="2:8" x14ac:dyDescent="0.25">
      <c r="B5" s="35">
        <v>10</v>
      </c>
      <c r="C5" s="6">
        <v>7.1999999999999995E-2</v>
      </c>
      <c r="D5" s="6">
        <v>7.8E-2</v>
      </c>
      <c r="E5" s="6">
        <v>7.4999999999999997E-2</v>
      </c>
      <c r="F5" s="2">
        <v>7.4999999999999997E-2</v>
      </c>
      <c r="G5" s="1">
        <v>3.0000000000000027E-3</v>
      </c>
      <c r="H5" s="38">
        <f>(F5-0.0564)/(0.0016)</f>
        <v>11.624999999999998</v>
      </c>
    </row>
    <row r="6" spans="2:8" x14ac:dyDescent="0.25">
      <c r="B6" s="35">
        <v>20</v>
      </c>
      <c r="C6" s="6">
        <v>8.5999999999999993E-2</v>
      </c>
      <c r="D6" s="6">
        <v>8.8999999999999996E-2</v>
      </c>
      <c r="E6" s="6">
        <v>8.6999999999999994E-2</v>
      </c>
      <c r="F6" s="2">
        <v>8.7333333333333332E-2</v>
      </c>
      <c r="G6" s="1">
        <v>1.5275252316519479E-3</v>
      </c>
      <c r="H6" s="38">
        <f t="shared" ref="H6:H14" si="0">(F6-0.0564)/(0.0016)</f>
        <v>19.333333333333332</v>
      </c>
    </row>
    <row r="7" spans="2:8" x14ac:dyDescent="0.25">
      <c r="B7" s="35">
        <v>30</v>
      </c>
      <c r="C7" s="6">
        <v>0.114</v>
      </c>
      <c r="D7" s="6">
        <v>9.6000000000000002E-2</v>
      </c>
      <c r="E7" s="6">
        <v>9.7000000000000003E-2</v>
      </c>
      <c r="F7" s="2">
        <v>0.10233333333333335</v>
      </c>
      <c r="G7" s="1">
        <v>1.0115993936995679E-2</v>
      </c>
      <c r="H7" s="38">
        <f t="shared" si="0"/>
        <v>28.708333333333339</v>
      </c>
    </row>
    <row r="8" spans="2:8" x14ac:dyDescent="0.25">
      <c r="B8" s="35">
        <v>40</v>
      </c>
      <c r="C8" s="6">
        <v>0.11700000000000001</v>
      </c>
      <c r="D8" s="6">
        <v>0.113</v>
      </c>
      <c r="E8" s="6">
        <v>0.11</v>
      </c>
      <c r="F8" s="2">
        <v>0.11333333333333334</v>
      </c>
      <c r="G8" s="1">
        <v>3.5118845842842497E-3</v>
      </c>
      <c r="H8" s="38">
        <f t="shared" si="0"/>
        <v>35.583333333333336</v>
      </c>
    </row>
    <row r="9" spans="2:8" x14ac:dyDescent="0.25">
      <c r="B9" s="35">
        <v>50</v>
      </c>
      <c r="C9" s="6">
        <v>0.13800000000000001</v>
      </c>
      <c r="D9" s="6">
        <v>0.128</v>
      </c>
      <c r="E9" s="6">
        <v>0.129</v>
      </c>
      <c r="F9" s="2">
        <v>0.13166666666666668</v>
      </c>
      <c r="G9" s="1">
        <v>5.5075705472861069E-3</v>
      </c>
      <c r="H9" s="38">
        <f t="shared" si="0"/>
        <v>47.041666666666671</v>
      </c>
    </row>
    <row r="10" spans="2:8" x14ac:dyDescent="0.25">
      <c r="B10" s="35">
        <v>60</v>
      </c>
      <c r="C10" s="6">
        <v>0.13600000000000001</v>
      </c>
      <c r="D10" s="6">
        <v>0.17199999999999999</v>
      </c>
      <c r="E10" s="6">
        <v>0.17299999999999999</v>
      </c>
      <c r="F10" s="2">
        <v>0.16033333333333333</v>
      </c>
      <c r="G10" s="1">
        <v>2.1079215671683121E-2</v>
      </c>
      <c r="H10" s="38">
        <f t="shared" si="0"/>
        <v>64.958333333333329</v>
      </c>
    </row>
    <row r="11" spans="2:8" x14ac:dyDescent="0.25">
      <c r="B11" s="35">
        <v>70</v>
      </c>
      <c r="C11" s="6">
        <v>0.16800000000000001</v>
      </c>
      <c r="D11" s="6">
        <v>0.17699999999999999</v>
      </c>
      <c r="E11" s="6">
        <v>0.16400000000000001</v>
      </c>
      <c r="F11" s="2">
        <v>0.16966666666666666</v>
      </c>
      <c r="G11" s="1">
        <v>6.6583281184793832E-3</v>
      </c>
      <c r="H11" s="38">
        <f t="shared" si="0"/>
        <v>70.791666666666657</v>
      </c>
    </row>
    <row r="12" spans="2:8" x14ac:dyDescent="0.25">
      <c r="B12" s="35">
        <v>80</v>
      </c>
      <c r="C12" s="6">
        <v>0.17499999999999999</v>
      </c>
      <c r="D12" s="6">
        <v>0.18</v>
      </c>
      <c r="E12" s="6">
        <v>0.185</v>
      </c>
      <c r="F12" s="2">
        <v>0.18000000000000002</v>
      </c>
      <c r="G12" s="1">
        <v>5.0000000000000044E-3</v>
      </c>
      <c r="H12" s="38">
        <f t="shared" si="0"/>
        <v>77.25</v>
      </c>
    </row>
    <row r="13" spans="2:8" x14ac:dyDescent="0.25">
      <c r="B13" s="35">
        <v>90</v>
      </c>
      <c r="C13" s="6">
        <v>0.19700000000000001</v>
      </c>
      <c r="D13" s="6">
        <v>0.2</v>
      </c>
      <c r="E13" s="6">
        <v>0.20499999999999999</v>
      </c>
      <c r="F13" s="2">
        <v>0.20066666666666666</v>
      </c>
      <c r="G13" s="1">
        <v>4.0414518843273689E-3</v>
      </c>
      <c r="H13" s="38">
        <f t="shared" si="0"/>
        <v>90.166666666666657</v>
      </c>
    </row>
    <row r="14" spans="2:8" ht="15.75" thickBot="1" x14ac:dyDescent="0.3">
      <c r="B14" s="36">
        <v>100</v>
      </c>
      <c r="C14" s="37">
        <v>0.20300000000000001</v>
      </c>
      <c r="D14" s="37">
        <v>0.21199999999999999</v>
      </c>
      <c r="E14" s="37">
        <v>0.217</v>
      </c>
      <c r="F14" s="40">
        <v>0.21066666666666667</v>
      </c>
      <c r="G14" s="25">
        <v>7.0945988845975789E-3</v>
      </c>
      <c r="H14" s="39">
        <f t="shared" si="0"/>
        <v>96.416666666666657</v>
      </c>
    </row>
    <row r="18" spans="2:10" ht="15.75" thickBot="1" x14ac:dyDescent="0.3"/>
    <row r="19" spans="2:10" x14ac:dyDescent="0.25">
      <c r="B19" s="123" t="s">
        <v>35</v>
      </c>
      <c r="C19" s="105"/>
      <c r="D19" s="105"/>
      <c r="E19" s="105"/>
      <c r="F19" s="105"/>
      <c r="G19" s="105"/>
      <c r="H19" s="105"/>
      <c r="I19" s="105"/>
      <c r="J19" s="106"/>
    </row>
    <row r="20" spans="2:10" x14ac:dyDescent="0.25">
      <c r="B20" s="91" t="s">
        <v>38</v>
      </c>
      <c r="C20" s="79" t="s">
        <v>37</v>
      </c>
      <c r="D20" s="79"/>
      <c r="E20" s="79"/>
      <c r="F20" s="102" t="s">
        <v>39</v>
      </c>
      <c r="G20" s="103"/>
      <c r="H20" s="103"/>
      <c r="I20" s="103"/>
      <c r="J20" s="127"/>
    </row>
    <row r="21" spans="2:10" x14ac:dyDescent="0.25">
      <c r="B21" s="91"/>
      <c r="C21" s="42">
        <v>1</v>
      </c>
      <c r="D21" s="42">
        <v>2</v>
      </c>
      <c r="E21" s="42">
        <v>3</v>
      </c>
      <c r="F21" s="41">
        <v>1</v>
      </c>
      <c r="G21" s="41">
        <v>2</v>
      </c>
      <c r="H21" s="41">
        <v>3</v>
      </c>
      <c r="I21" s="42" t="s">
        <v>16</v>
      </c>
      <c r="J21" s="43" t="s">
        <v>1</v>
      </c>
    </row>
    <row r="22" spans="2:10" x14ac:dyDescent="0.25">
      <c r="B22" s="35" t="s">
        <v>48</v>
      </c>
      <c r="C22" s="6">
        <v>8.6999999999999994E-2</v>
      </c>
      <c r="D22" s="6">
        <v>0.09</v>
      </c>
      <c r="E22" s="6">
        <v>9.7000000000000003E-2</v>
      </c>
      <c r="F22" s="12">
        <f t="shared" ref="F22:F27" si="1">(C22-0.0564)/(0.0016)</f>
        <v>19.124999999999996</v>
      </c>
      <c r="G22" s="12">
        <f t="shared" ref="G22:H27" si="2">(D22-0.0564)/(0.0016)</f>
        <v>20.999999999999996</v>
      </c>
      <c r="H22" s="12">
        <f t="shared" si="2"/>
        <v>25.375</v>
      </c>
      <c r="I22" s="12">
        <f t="shared" ref="I22:I27" si="3">(AVERAGE(F22:H22))</f>
        <v>21.833333333333332</v>
      </c>
      <c r="J22" s="48">
        <f>(STDEV(F22:H22))</f>
        <v>3.2072508996542908</v>
      </c>
    </row>
    <row r="23" spans="2:10" x14ac:dyDescent="0.25">
      <c r="B23" s="35" t="s">
        <v>47</v>
      </c>
      <c r="C23" s="6">
        <v>0.10100000000000001</v>
      </c>
      <c r="D23" s="6">
        <v>0.11</v>
      </c>
      <c r="E23" s="6">
        <v>0.128</v>
      </c>
      <c r="F23" s="12">
        <f t="shared" si="1"/>
        <v>27.875000000000004</v>
      </c>
      <c r="G23" s="12">
        <f t="shared" si="2"/>
        <v>33.5</v>
      </c>
      <c r="H23" s="12">
        <f t="shared" si="2"/>
        <v>44.749999999999993</v>
      </c>
      <c r="I23" s="12">
        <f t="shared" si="3"/>
        <v>35.375</v>
      </c>
      <c r="J23" s="48">
        <f>(STDEV(F23:H23))</f>
        <v>8.592329428042186</v>
      </c>
    </row>
    <row r="24" spans="2:10" x14ac:dyDescent="0.25">
      <c r="B24" s="35" t="s">
        <v>49</v>
      </c>
      <c r="C24" s="6">
        <v>0.17299999999999999</v>
      </c>
      <c r="D24" s="6">
        <v>0.122</v>
      </c>
      <c r="E24" s="6">
        <v>0.154</v>
      </c>
      <c r="F24" s="12">
        <f t="shared" si="1"/>
        <v>72.874999999999986</v>
      </c>
      <c r="G24" s="12">
        <f t="shared" si="2"/>
        <v>40.999999999999993</v>
      </c>
      <c r="H24" s="12">
        <f t="shared" si="2"/>
        <v>60.999999999999993</v>
      </c>
      <c r="I24" s="12">
        <f t="shared" si="3"/>
        <v>58.291666666666657</v>
      </c>
      <c r="J24" s="48">
        <f>(STDEV(F24,H24))</f>
        <v>8.3968930265902468</v>
      </c>
    </row>
    <row r="25" spans="2:10" x14ac:dyDescent="0.25">
      <c r="B25" s="35" t="s">
        <v>50</v>
      </c>
      <c r="C25" s="6">
        <v>0.16200000000000001</v>
      </c>
      <c r="D25" s="6">
        <v>0.20300000000000001</v>
      </c>
      <c r="E25" s="6">
        <v>0.154</v>
      </c>
      <c r="F25" s="12">
        <f t="shared" si="1"/>
        <v>66</v>
      </c>
      <c r="G25" s="12">
        <f t="shared" si="2"/>
        <v>91.625</v>
      </c>
      <c r="H25" s="12">
        <f t="shared" si="2"/>
        <v>60.999999999999993</v>
      </c>
      <c r="I25" s="12">
        <f t="shared" si="3"/>
        <v>72.875</v>
      </c>
      <c r="J25" s="48">
        <f>(STDEV(F25:H25))</f>
        <v>16.429299285118645</v>
      </c>
    </row>
    <row r="26" spans="2:10" x14ac:dyDescent="0.25">
      <c r="B26" s="35" t="s">
        <v>51</v>
      </c>
      <c r="C26" s="6">
        <v>8.6999999999999994E-2</v>
      </c>
      <c r="D26" s="6">
        <v>0.129</v>
      </c>
      <c r="E26" s="6">
        <v>0.17599999999999999</v>
      </c>
      <c r="F26" s="12">
        <f t="shared" si="1"/>
        <v>19.124999999999996</v>
      </c>
      <c r="G26" s="12">
        <f t="shared" si="2"/>
        <v>45.375</v>
      </c>
      <c r="H26" s="12">
        <f t="shared" si="2"/>
        <v>74.749999999999986</v>
      </c>
      <c r="I26" s="12">
        <f t="shared" si="3"/>
        <v>46.416666666666664</v>
      </c>
      <c r="J26" s="48">
        <f>(STDEV(F26,G26))</f>
        <v>18.561553006146873</v>
      </c>
    </row>
    <row r="27" spans="2:10" ht="15.75" thickBot="1" x14ac:dyDescent="0.3">
      <c r="B27" s="36" t="s">
        <v>52</v>
      </c>
      <c r="C27" s="37">
        <v>0.34499999999999997</v>
      </c>
      <c r="D27" s="37">
        <v>0.218</v>
      </c>
      <c r="E27" s="37">
        <v>0.29599999999999999</v>
      </c>
      <c r="F27" s="14">
        <f t="shared" si="1"/>
        <v>180.37499999999997</v>
      </c>
      <c r="G27" s="14">
        <f t="shared" si="2"/>
        <v>100.99999999999999</v>
      </c>
      <c r="H27" s="14">
        <f t="shared" si="2"/>
        <v>149.74999999999997</v>
      </c>
      <c r="I27" s="14">
        <f t="shared" si="3"/>
        <v>143.70833333333329</v>
      </c>
      <c r="J27" s="49">
        <f>(STDEV(F27,H27))</f>
        <v>21.655145173838019</v>
      </c>
    </row>
  </sheetData>
  <mergeCells count="10">
    <mergeCell ref="C20:E20"/>
    <mergeCell ref="B19:J19"/>
    <mergeCell ref="B20:B21"/>
    <mergeCell ref="F20:J20"/>
    <mergeCell ref="C3:E3"/>
    <mergeCell ref="B2:H2"/>
    <mergeCell ref="B3:B4"/>
    <mergeCell ref="F3:F4"/>
    <mergeCell ref="G3:G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FTIR</vt:lpstr>
      <vt:lpstr>STERLITY</vt:lpstr>
      <vt:lpstr>WASHOUT &amp; DETERGENT </vt:lpstr>
      <vt:lpstr>HEMOLYSIS</vt:lpstr>
      <vt:lpstr>THROMBOTIC</vt:lpstr>
      <vt:lpstr>SWELLING </vt:lpstr>
      <vt:lpstr>ENZYME BIODEGRAD COLLAGEN</vt:lpstr>
      <vt:lpstr>ENZYME BIODEGRAD TRYPSIN</vt:lpstr>
      <vt:lpstr>QUANTIFICATION (Try &amp; Colgen)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2022-07-13T11:01:30Z</dcterms:modified>
</cp:coreProperties>
</file>